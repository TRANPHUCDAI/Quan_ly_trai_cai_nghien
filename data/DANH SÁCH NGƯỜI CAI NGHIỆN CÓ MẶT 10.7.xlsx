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OIMINHSTORE\Downloads\"/>
    </mc:Choice>
  </mc:AlternateContent>
  <bookViews>
    <workbookView xWindow="0" yWindow="0" windowWidth="20490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2" i="1"/>
  <c r="U96" i="1"/>
  <c r="T96" i="1"/>
  <c r="U95" i="1"/>
  <c r="T95" i="1"/>
  <c r="J95" i="1"/>
  <c r="U94" i="1"/>
  <c r="T94" i="1"/>
  <c r="J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J84" i="1"/>
  <c r="J83" i="1"/>
  <c r="U82" i="1"/>
  <c r="T82" i="1"/>
  <c r="J82" i="1"/>
  <c r="U81" i="1"/>
  <c r="T81" i="1"/>
  <c r="J81" i="1"/>
  <c r="U80" i="1"/>
  <c r="T80" i="1"/>
  <c r="J80" i="1"/>
  <c r="U79" i="1"/>
  <c r="T79" i="1"/>
  <c r="J79" i="1"/>
  <c r="U78" i="1"/>
  <c r="T78" i="1"/>
  <c r="J78" i="1"/>
  <c r="U77" i="1"/>
  <c r="T77" i="1"/>
  <c r="J77" i="1"/>
  <c r="U76" i="1"/>
  <c r="T76" i="1"/>
  <c r="J76" i="1"/>
  <c r="U75" i="1"/>
  <c r="T75" i="1"/>
  <c r="J75" i="1"/>
  <c r="U74" i="1"/>
  <c r="T74" i="1"/>
  <c r="J74" i="1"/>
  <c r="U72" i="1"/>
  <c r="T72" i="1"/>
  <c r="P72" i="1"/>
  <c r="J72" i="1"/>
  <c r="U71" i="1"/>
  <c r="T71" i="1"/>
  <c r="P71" i="1"/>
  <c r="J71" i="1"/>
  <c r="U70" i="1"/>
  <c r="T70" i="1"/>
  <c r="P70" i="1"/>
  <c r="J70" i="1"/>
  <c r="U69" i="1"/>
  <c r="T69" i="1"/>
  <c r="P69" i="1"/>
  <c r="J69" i="1"/>
  <c r="U68" i="1"/>
  <c r="T68" i="1"/>
  <c r="J68" i="1"/>
  <c r="U67" i="1"/>
  <c r="T67" i="1"/>
  <c r="J67" i="1"/>
  <c r="U66" i="1"/>
  <c r="T66" i="1"/>
  <c r="P66" i="1"/>
  <c r="J66" i="1"/>
  <c r="U65" i="1"/>
  <c r="T65" i="1"/>
  <c r="J65" i="1"/>
  <c r="U64" i="1"/>
  <c r="T64" i="1"/>
  <c r="P64" i="1"/>
  <c r="J64" i="1"/>
  <c r="U63" i="1"/>
  <c r="T63" i="1"/>
  <c r="P63" i="1"/>
  <c r="J63" i="1"/>
  <c r="U62" i="1"/>
  <c r="T62" i="1"/>
  <c r="P62" i="1"/>
  <c r="J62" i="1"/>
  <c r="U61" i="1"/>
  <c r="T61" i="1"/>
  <c r="P61" i="1"/>
  <c r="J61" i="1"/>
  <c r="U60" i="1"/>
  <c r="T60" i="1"/>
  <c r="P60" i="1"/>
  <c r="J60" i="1"/>
  <c r="U59" i="1"/>
  <c r="T59" i="1"/>
  <c r="P59" i="1"/>
  <c r="J59" i="1"/>
  <c r="U58" i="1"/>
  <c r="T58" i="1"/>
  <c r="P58" i="1"/>
  <c r="J58" i="1"/>
  <c r="U57" i="1"/>
  <c r="T57" i="1"/>
  <c r="P57" i="1"/>
  <c r="J57" i="1"/>
  <c r="U56" i="1"/>
  <c r="T56" i="1"/>
  <c r="P56" i="1"/>
  <c r="J56" i="1"/>
  <c r="U55" i="1"/>
  <c r="T55" i="1"/>
  <c r="J55" i="1"/>
  <c r="U54" i="1"/>
  <c r="T54" i="1"/>
  <c r="J54" i="1"/>
  <c r="U53" i="1"/>
  <c r="T53" i="1"/>
  <c r="P53" i="1"/>
  <c r="J53" i="1"/>
  <c r="U52" i="1"/>
  <c r="T52" i="1"/>
  <c r="P52" i="1"/>
  <c r="J52" i="1"/>
  <c r="U51" i="1"/>
  <c r="T51" i="1"/>
  <c r="P51" i="1"/>
  <c r="J51" i="1"/>
  <c r="U50" i="1"/>
  <c r="T50" i="1"/>
  <c r="P50" i="1"/>
  <c r="J50" i="1"/>
  <c r="U49" i="1"/>
  <c r="T49" i="1"/>
  <c r="P49" i="1"/>
  <c r="J49" i="1"/>
  <c r="U48" i="1"/>
  <c r="T48" i="1"/>
  <c r="P48" i="1"/>
  <c r="J48" i="1"/>
  <c r="U47" i="1"/>
  <c r="T47" i="1"/>
  <c r="P47" i="1"/>
  <c r="J47" i="1"/>
  <c r="U46" i="1"/>
  <c r="T46" i="1"/>
  <c r="J46" i="1"/>
  <c r="U45" i="1"/>
  <c r="T45" i="1"/>
  <c r="P45" i="1"/>
  <c r="J45" i="1"/>
  <c r="U44" i="1"/>
  <c r="T44" i="1"/>
  <c r="P44" i="1"/>
  <c r="J44" i="1"/>
  <c r="U43" i="1"/>
  <c r="T43" i="1"/>
  <c r="P43" i="1"/>
  <c r="J43" i="1"/>
  <c r="U42" i="1"/>
  <c r="T42" i="1"/>
  <c r="J42" i="1"/>
  <c r="U41" i="1"/>
  <c r="T41" i="1"/>
  <c r="P41" i="1"/>
  <c r="J41" i="1"/>
  <c r="U40" i="1"/>
  <c r="T40" i="1"/>
  <c r="P40" i="1"/>
  <c r="J40" i="1"/>
  <c r="U39" i="1"/>
  <c r="T39" i="1"/>
  <c r="P39" i="1"/>
  <c r="J39" i="1"/>
  <c r="U38" i="1"/>
  <c r="J38" i="1"/>
  <c r="U37" i="1"/>
  <c r="T37" i="1"/>
  <c r="P37" i="1"/>
  <c r="J37" i="1"/>
  <c r="U36" i="1"/>
  <c r="T36" i="1"/>
  <c r="P36" i="1"/>
  <c r="J36" i="1"/>
  <c r="U35" i="1"/>
  <c r="T35" i="1"/>
  <c r="P35" i="1"/>
  <c r="J35" i="1"/>
  <c r="U34" i="1"/>
  <c r="T34" i="1"/>
  <c r="P34" i="1"/>
  <c r="J34" i="1"/>
  <c r="U33" i="1"/>
  <c r="T33" i="1"/>
  <c r="J33" i="1"/>
  <c r="U32" i="1"/>
  <c r="T32" i="1"/>
  <c r="J32" i="1"/>
  <c r="J31" i="1"/>
  <c r="U30" i="1"/>
  <c r="T30" i="1"/>
  <c r="P30" i="1"/>
  <c r="J30" i="1"/>
  <c r="U29" i="1"/>
  <c r="T29" i="1"/>
  <c r="P29" i="1"/>
  <c r="J29" i="1"/>
  <c r="U28" i="1"/>
  <c r="T28" i="1"/>
  <c r="P28" i="1"/>
  <c r="J28" i="1"/>
  <c r="U27" i="1"/>
  <c r="T27" i="1"/>
  <c r="P27" i="1"/>
  <c r="J27" i="1"/>
  <c r="U26" i="1"/>
  <c r="T26" i="1"/>
  <c r="P26" i="1"/>
  <c r="J26" i="1"/>
  <c r="U25" i="1"/>
  <c r="T25" i="1"/>
  <c r="P25" i="1"/>
  <c r="J25" i="1"/>
  <c r="U24" i="1"/>
  <c r="T24" i="1"/>
  <c r="P24" i="1"/>
  <c r="J24" i="1"/>
  <c r="U23" i="1"/>
  <c r="T23" i="1"/>
  <c r="P23" i="1"/>
  <c r="J23" i="1"/>
  <c r="U22" i="1"/>
  <c r="T22" i="1"/>
  <c r="P22" i="1"/>
  <c r="J22" i="1"/>
  <c r="U21" i="1"/>
  <c r="T21" i="1"/>
  <c r="P21" i="1"/>
  <c r="J21" i="1"/>
  <c r="U20" i="1"/>
  <c r="T20" i="1"/>
  <c r="P20" i="1"/>
  <c r="J20" i="1"/>
  <c r="U19" i="1"/>
  <c r="T19" i="1"/>
  <c r="P19" i="1"/>
  <c r="J19" i="1"/>
  <c r="U18" i="1"/>
  <c r="T18" i="1"/>
  <c r="P18" i="1"/>
  <c r="J18" i="1"/>
  <c r="U17" i="1"/>
  <c r="T17" i="1"/>
  <c r="P17" i="1"/>
  <c r="J17" i="1"/>
  <c r="U16" i="1"/>
  <c r="T16" i="1"/>
  <c r="J16" i="1"/>
  <c r="U15" i="1"/>
  <c r="T15" i="1"/>
  <c r="P15" i="1"/>
  <c r="J15" i="1"/>
  <c r="U14" i="1"/>
  <c r="T14" i="1"/>
  <c r="P14" i="1"/>
  <c r="J14" i="1"/>
  <c r="U13" i="1"/>
  <c r="T13" i="1"/>
  <c r="P13" i="1"/>
  <c r="J13" i="1"/>
  <c r="U12" i="1"/>
  <c r="T12" i="1"/>
  <c r="P12" i="1"/>
  <c r="J12" i="1"/>
  <c r="U11" i="1"/>
  <c r="T11" i="1"/>
  <c r="J11" i="1"/>
  <c r="J10" i="1"/>
  <c r="U9" i="1"/>
  <c r="T9" i="1"/>
  <c r="P9" i="1"/>
  <c r="J9" i="1"/>
  <c r="U8" i="1"/>
  <c r="T8" i="1"/>
  <c r="P8" i="1"/>
  <c r="J8" i="1"/>
  <c r="U7" i="1"/>
  <c r="T7" i="1"/>
  <c r="P7" i="1"/>
  <c r="J7" i="1"/>
  <c r="U6" i="1"/>
  <c r="T6" i="1"/>
  <c r="P6" i="1"/>
  <c r="J6" i="1"/>
  <c r="U5" i="1"/>
  <c r="T5" i="1"/>
  <c r="J5" i="1"/>
  <c r="U4" i="1"/>
  <c r="T4" i="1"/>
  <c r="J4" i="1"/>
  <c r="U3" i="1"/>
  <c r="T3" i="1"/>
  <c r="P3" i="1"/>
  <c r="J3" i="1"/>
  <c r="U2" i="1"/>
  <c r="T2" i="1"/>
  <c r="P2" i="1"/>
  <c r="J2" i="1"/>
</calcChain>
</file>

<file path=xl/sharedStrings.xml><?xml version="1.0" encoding="utf-8"?>
<sst xmlns="http://schemas.openxmlformats.org/spreadsheetml/2006/main" count="894" uniqueCount="452">
  <si>
    <t>TT</t>
  </si>
  <si>
    <t>Họ và tên</t>
  </si>
  <si>
    <t>CCCD/CMND</t>
  </si>
  <si>
    <t>Ngày cấp</t>
  </si>
  <si>
    <t>cai nghiện lần thứ</t>
  </si>
  <si>
    <t>thời điểm sử dụng ma túy lần đầu</t>
  </si>
  <si>
    <t>tiền án</t>
  </si>
  <si>
    <t>tiền sự</t>
  </si>
  <si>
    <t>ngày sinh</t>
  </si>
  <si>
    <t>tuổi</t>
  </si>
  <si>
    <t>CAX lập HS</t>
  </si>
  <si>
    <t>Quê quán</t>
  </si>
  <si>
    <t>HK thường trú</t>
  </si>
  <si>
    <t>Địa chỉ sau sát nhập</t>
  </si>
  <si>
    <t>ngày vào CS</t>
  </si>
  <si>
    <t>Dự kiến ngày về</t>
  </si>
  <si>
    <t>dự kiến về 2026</t>
  </si>
  <si>
    <t>dự kiến về 2027</t>
  </si>
  <si>
    <t>Hình thức cai nghiện</t>
  </si>
  <si>
    <t>Số tháng đã c/h</t>
  </si>
  <si>
    <t>số ngày đã c/h</t>
  </si>
  <si>
    <t>QĐ TÒA ÁN</t>
  </si>
  <si>
    <t>THỜI GIAN CH</t>
  </si>
  <si>
    <t>TAND khu vực</t>
  </si>
  <si>
    <t>QĐ XÉT GIẢM</t>
  </si>
  <si>
    <t>ĐAI DIỆN GIA ĐÌNH</t>
  </si>
  <si>
    <t>DÂN TỘC</t>
  </si>
  <si>
    <t>TRÌNH ĐỘ</t>
  </si>
  <si>
    <t>GHI CHÚ</t>
  </si>
  <si>
    <t>Cao Văn Bản</t>
  </si>
  <si>
    <t>xã Châu Hồng</t>
  </si>
  <si>
    <t>bản Cáng, xã Châu Hồng, tỉnh Nghệ An</t>
  </si>
  <si>
    <t>bản Phúc Tiến, xã Châu Hồng, tỉnh Nghệ An</t>
  </si>
  <si>
    <t>Bắt buộc</t>
  </si>
  <si>
    <t>02/2026/QĐ-TA ngày 16/01/2026</t>
  </si>
  <si>
    <t>Khu vực 10</t>
  </si>
  <si>
    <t>Thái</t>
  </si>
  <si>
    <t>9/12</t>
  </si>
  <si>
    <t>Cầm Văn Ngọc</t>
  </si>
  <si>
    <t>xã Tương Dương</t>
  </si>
  <si>
    <t>bản Pủng, xã Tương Dương, tỉnh Nghệ An</t>
  </si>
  <si>
    <t>bản Lưu Sơn, xã Tương Dương, tỉnh Nghệ An</t>
  </si>
  <si>
    <t>số 02/2026/QĐ ngày 27/01/2026</t>
  </si>
  <si>
    <t>Khu vực 11</t>
  </si>
  <si>
    <t>Lương Thị Loan(mẹ)</t>
  </si>
  <si>
    <t xml:space="preserve"> 9/12</t>
  </si>
  <si>
    <t>Chàng Văn Thưởng</t>
  </si>
  <si>
    <t>xã Tam Thái</t>
  </si>
  <si>
    <t>bản Na Tổng, xã Tam Thái, tỉnh Nghệ An</t>
  </si>
  <si>
    <t xml:space="preserve"> </t>
  </si>
  <si>
    <t>32/2023/QĐ-TA ngày 8/3/2023</t>
  </si>
  <si>
    <t>Chàng Văn Thế</t>
  </si>
  <si>
    <t>Đặng Văn Luân</t>
  </si>
  <si>
    <t>Xóm Hòa Nam, xã Tương Dương, tỉnh Nghệ An</t>
  </si>
  <si>
    <t>Số 15/2025/QĐ-TA ngày 3/4/2025</t>
  </si>
  <si>
    <t>18/QĐ-TA ngày 25/5/2026</t>
  </si>
  <si>
    <t>Đặng Thị Thay (chị gái)</t>
  </si>
  <si>
    <t xml:space="preserve"> 7/12</t>
  </si>
  <si>
    <t>Hà Văn Dũng</t>
  </si>
  <si>
    <t>xóm Na Án, xã Châu Hồng, tỉnh Nghệ An</t>
  </si>
  <si>
    <t>03/2026/QĐ-TA ngày 16/01/2026</t>
  </si>
  <si>
    <t>Hà Văn Phú</t>
  </si>
  <si>
    <t>xóm Chăm Hiêng, xã Châu Hồng, tỉnh Nghệ An</t>
  </si>
  <si>
    <t>bản Bình Thắng, xã Châu Hồng, tỉnh Nghệ An</t>
  </si>
  <si>
    <t>06/2026/QĐ-TA ngày 16/01/2026</t>
  </si>
  <si>
    <t>6/12</t>
  </si>
  <si>
    <t>Học Văn Cả</t>
  </si>
  <si>
    <t>xã Nhôn Mai</t>
  </si>
  <si>
    <t>bản Tân Mai, xã Nhôn Mai, tỉnh Nghệ An</t>
  </si>
  <si>
    <t>19/2025/QĐ-TA ngày 3/6/2025</t>
  </si>
  <si>
    <t xml:space="preserve">Học Văn Nghệ </t>
  </si>
  <si>
    <t>2 (năm 2019)</t>
  </si>
  <si>
    <t>xã Keng Đu</t>
  </si>
  <si>
    <t>bản Huồi Xui, xã Keng Đu, tỉnh Nghệ An</t>
  </si>
  <si>
    <t>số 09/Q Đ-TA ngày 26/6/2025</t>
  </si>
  <si>
    <t>Khu vực 12</t>
  </si>
  <si>
    <t>Khơ Mú</t>
  </si>
  <si>
    <t>7/12</t>
  </si>
  <si>
    <t>Hồ Xuân Vinh</t>
  </si>
  <si>
    <t>xã Mường Xén</t>
  </si>
  <si>
    <t>khối 4, xã Mường Xén, tỉnh Nghệ An</t>
  </si>
  <si>
    <t>vào l1 ngày 7/3/2023trốn ngày 6/3/2023, vàol2 25/09/2025</t>
  </si>
  <si>
    <t>12/QĐ-TA, 03/4/2023</t>
  </si>
  <si>
    <t>Trần Thị Lan(mẹ)</t>
  </si>
  <si>
    <t>Kinh</t>
  </si>
  <si>
    <t xml:space="preserve"> 12/12</t>
  </si>
  <si>
    <t>Kha Văn An</t>
  </si>
  <si>
    <t>Bản Xoóng Con, xã Tương Dương, tỉnh Nghệ An</t>
  </si>
  <si>
    <t>Số 12/2025/QĐ-TA ngày 1/4/2025</t>
  </si>
  <si>
    <t>17/QĐ-TA ngày 25/5/2026</t>
  </si>
  <si>
    <t>Kha Văn Tịnh (anh trai)</t>
  </si>
  <si>
    <t>Kha Xí Vi Long</t>
  </si>
  <si>
    <t>4( năm 2011 ; 2026 ; 2020 Phúc sơn)</t>
  </si>
  <si>
    <t>xóm Hòa Tây, xã Tương Dương, tỉnh Nghệ An</t>
  </si>
  <si>
    <t>Xóm Hòa Bình, xã Tương Dương, tỉnh Nghệ An</t>
  </si>
  <si>
    <t>02/2025, ngày 30/9/2025</t>
  </si>
  <si>
    <t>Kha Thanh Dũng</t>
  </si>
  <si>
    <t>Kha Xuân Văn</t>
  </si>
  <si>
    <t>bản Lưu Phong, xã Tương Dương, tỉnh Nghệ An</t>
  </si>
  <si>
    <t>01/2026/QĐ-TA ngày 13/01/2026</t>
  </si>
  <si>
    <t>Kha Văn Phương</t>
  </si>
  <si>
    <t xml:space="preserve"> 3/12</t>
  </si>
  <si>
    <t>Lang Văn Sơn</t>
  </si>
  <si>
    <t>12/2026/QĐ-TA ngày 16/01/2026</t>
  </si>
  <si>
    <t>Khu vực 10- tỉnh Nghệ An</t>
  </si>
  <si>
    <t>Lễ Văn Sáng</t>
  </si>
  <si>
    <t>2(2018 cs3)</t>
  </si>
  <si>
    <t>xã Hữu Kiệm</t>
  </si>
  <si>
    <t>bản Na Chảo, xã Hữu Kiệm, tỉnh Nghệ An</t>
  </si>
  <si>
    <t>06/QĐ-TA, 25/2/2025</t>
  </si>
  <si>
    <t>Lễ Văn Xoa</t>
  </si>
  <si>
    <t xml:space="preserve"> 6/12</t>
  </si>
  <si>
    <t>Lô Văn Anh</t>
  </si>
  <si>
    <t>xã Quỳ Hợp</t>
  </si>
  <si>
    <t>Bản Cù Mọn, xã Quỳ Hợp, tỉnh Nghệ An</t>
  </si>
  <si>
    <t>xóm Quang Thắng, xã Quỳ Hợp, tỉnh Nghệ An</t>
  </si>
  <si>
    <t>Số 06/2025/QĐ-TA ngày 22/01/2025</t>
  </si>
  <si>
    <t>14/QĐ-TA ngày 16/4/2026</t>
  </si>
  <si>
    <t>Lô Văn Tuấn (cha đẻ)</t>
  </si>
  <si>
    <t>Lô Văn Toàn</t>
  </si>
  <si>
    <t>2(2023 cs3)</t>
  </si>
  <si>
    <t>xã Tam Quang</t>
  </si>
  <si>
    <t>bản Quang Phúc, xã Tam Quang, tỉnh Nghệ An</t>
  </si>
  <si>
    <t>17/2025/QĐ-TA ngày 12/5/2025</t>
  </si>
  <si>
    <t>Lô Thị Nhung(mẹ)</t>
  </si>
  <si>
    <t>Lô Văn Thắng</t>
  </si>
  <si>
    <t>xã Hùng chân</t>
  </si>
  <si>
    <t>bản Cướm, xã Hùng Chân, tỉnh Nghệ An</t>
  </si>
  <si>
    <t>Số 10/2025/QĐ-TA ngày 26/3/2025</t>
  </si>
  <si>
    <t>Lang Thị Viên(mẹ)</t>
  </si>
  <si>
    <t xml:space="preserve"> 5/12</t>
  </si>
  <si>
    <t>Lô Văn Thông</t>
  </si>
  <si>
    <t>Bản Bành, xã Quỳ Hợp, tỉnh Nghệ An</t>
  </si>
  <si>
    <t>xóm Quang Trung, xã Quỳ Hợp, tỉnh Nghệ An</t>
  </si>
  <si>
    <t>Số 07/2025/QĐ-TA ngày 22/01/2025</t>
  </si>
  <si>
    <t>Lô Văn Ninh(cha đẻ)</t>
  </si>
  <si>
    <t>Lộc Văn Tịnh</t>
  </si>
  <si>
    <t>xóm Na Án, xã Châu Hồng, tỉnh Nghệ  An</t>
  </si>
  <si>
    <t>bản Na Án, xã Châu Hồng, tỉnh Nghệ  An</t>
  </si>
  <si>
    <t>09/2026/QĐ-TA ngày 16/01/2026</t>
  </si>
  <si>
    <t>Lương Phò Bình</t>
  </si>
  <si>
    <t>040084037315</t>
  </si>
  <si>
    <t>xã Bắc Lý</t>
  </si>
  <si>
    <t>bản Kẻo Nam, xã Bắc Lý, tỉnh Nghệ  An</t>
  </si>
  <si>
    <t>07/QDTA, 04/4/2025</t>
  </si>
  <si>
    <t>Lương Văn Bình (Con đẻ)</t>
  </si>
  <si>
    <t>3/12</t>
  </si>
  <si>
    <t>Lương Thái Bình</t>
  </si>
  <si>
    <t>2 (năm 2021 CNBB)</t>
  </si>
  <si>
    <t>bản Xám Thang, xã Bắc Lý, tỉnh Nghệ An</t>
  </si>
  <si>
    <t>20/2025/QĐ-TA ngày 3/6/2025</t>
  </si>
  <si>
    <t>Lương Văn Thỏa</t>
  </si>
  <si>
    <t>3(2018 tại Phúc Sơn, 2023 tại CS3)</t>
  </si>
  <si>
    <t>Xã Tương Dương</t>
  </si>
  <si>
    <t>bản Ang, xã Tương Dương, tỉnh Nghệ An</t>
  </si>
  <si>
    <t>bản Nhọt Kho, xã Bắc Lý, tỉnh Nghệ An</t>
  </si>
  <si>
    <t>03/2025/QĐ-TA ngày 30/9/2025</t>
  </si>
  <si>
    <t>Mộng Thể Lực</t>
  </si>
  <si>
    <t>bản Hợp Tiến, xã Châu Hồng, tỉnh Nghệ An</t>
  </si>
  <si>
    <t>07/2026/QĐ-TA ngày 16/01/2026</t>
  </si>
  <si>
    <t>Ngân Văn Hòa</t>
  </si>
  <si>
    <t>xóm Bình Tiến, xã Châu Hồng, tỉnh Châu Hồng, tỉnh Nghệ  An</t>
  </si>
  <si>
    <t>bản Bình Tiến, xã Châu Hồng, tỉnh Châu Hồng, tỉnh Nghệ  An</t>
  </si>
  <si>
    <t>04/2026/QĐ-TA ngày 16/01/2026</t>
  </si>
  <si>
    <t>2/12</t>
  </si>
  <si>
    <t>Ngân Văn Thỏa</t>
  </si>
  <si>
    <t>buôn Thái, xã Ea Kiết, tỉnh Đắk Lắk</t>
  </si>
  <si>
    <t>19//2025/QĐ-TA ngày 3/6/2025</t>
  </si>
  <si>
    <t>Nguyễn Đình Phước</t>
  </si>
  <si>
    <t>Xóm Quang Thành, xã Quỳ Hợp, tỉnh Nghệ An</t>
  </si>
  <si>
    <t>xóm Quang Tiến, xã Quỳ Hợp, tỉnh Nghệ An</t>
  </si>
  <si>
    <t>Số 112/QĐ-TA ngày 13/12/2024</t>
  </si>
  <si>
    <t>Kim Thị Hương (vợ)</t>
  </si>
  <si>
    <t>Nguyễn Văn Hiệp</t>
  </si>
  <si>
    <t>Số 111/QĐ-TA ngày 13/12/2024</t>
  </si>
  <si>
    <t>Nguyễn Văn Chương</t>
  </si>
  <si>
    <t>kinh</t>
  </si>
  <si>
    <t xml:space="preserve"> 11/12</t>
  </si>
  <si>
    <t>Nguyễn Văn Kiều</t>
  </si>
  <si>
    <t>2( năm 2023 cai cs3)</t>
  </si>
  <si>
    <t>xã Yên Hòa</t>
  </si>
  <si>
    <t>Bản Ngọn, xã Yên Hòa, tỉnh Nghệ An</t>
  </si>
  <si>
    <t>bản Yên Lập, xã Yên Hòa, tỉnh Nghệ An</t>
  </si>
  <si>
    <t>Số 13/2025/QĐ-TA ngày 3/4/2025</t>
  </si>
  <si>
    <t>Nguyễn Văn Nọi</t>
  </si>
  <si>
    <t>xã Nga My</t>
  </si>
  <si>
    <t>bản Pột, xã Nga My, tỉnh Nghệ An</t>
  </si>
  <si>
    <t>16/2025/QĐ-TA ngày 29/4/2025</t>
  </si>
  <si>
    <t>Nguyễn Văn Tào</t>
  </si>
  <si>
    <t>Bản Yên Tân, xã Yên Hòa, tỉnh Nghệ An</t>
  </si>
  <si>
    <t>vào 29/5/2019  trốn 9/8/2019 bắt lại 02/04/2025</t>
  </si>
  <si>
    <t>Số 185/2019/QĐ-TA ngày 07/8/2019</t>
  </si>
  <si>
    <t>Nguyễn Văn Long</t>
  </si>
  <si>
    <t>Nguyễn Văn Thuận</t>
  </si>
  <si>
    <t>Xóm Đồng Lụm, xã Quỳ Hợp, tỉnh Nghệ An</t>
  </si>
  <si>
    <t>Số 105/2024/QĐ-TA ngày 13/12/2024</t>
  </si>
  <si>
    <t>12/QĐ-TA ngày 16/4/2026</t>
  </si>
  <si>
    <t>Lô Thị Huyền(mẹ đẻ)</t>
  </si>
  <si>
    <t>Phạm Trường Giang</t>
  </si>
  <si>
    <t>040087033095</t>
  </si>
  <si>
    <t>Bản Khe Tỳ, xã Hữu Kiệm, tỉnh Nghệ An</t>
  </si>
  <si>
    <t>bản Na Lượng, xã Hữu Kiệm, tỉnh Nghệ An</t>
  </si>
  <si>
    <t>01/QĐ-TA ngày 15/1/2024</t>
  </si>
  <si>
    <t>19/QĐ-TA ngày 27/5/2026</t>
  </si>
  <si>
    <t>Bùi Thị Hoa(mẹ)</t>
  </si>
  <si>
    <t>Quang Bách</t>
  </si>
  <si>
    <t>bản Phúc Tiến, xã Châu Hồng, tỉnh Nghệ  An</t>
  </si>
  <si>
    <t>số 01/QĐ-TA, ngày 16/01/2026</t>
  </si>
  <si>
    <t>11/12</t>
  </si>
  <si>
    <t>Quang Văn Thơ</t>
  </si>
  <si>
    <t>xóm Bình Tiến, xã Châu Hồng, tỉnh Nghệ An</t>
  </si>
  <si>
    <t>bản Bình Tiến, xã Châu Hồng, tỉnh Nghệ An</t>
  </si>
  <si>
    <t>11/2026/QĐ-TA ngày 16/1/2026</t>
  </si>
  <si>
    <t>Sầm Văn Lê</t>
  </si>
  <si>
    <t>Xóm Yên Luốm, xã Quỳ Hợp, tỉnh Nghệ An</t>
  </si>
  <si>
    <t>xóm Quang Tân, xã Quỳ Hợp, tỉnh Nghệ An</t>
  </si>
  <si>
    <t>Số 100/2024/QĐ-TA ngày 18/11/2024</t>
  </si>
  <si>
    <t>Sầm Văn Hậu</t>
  </si>
  <si>
    <t>Trương Văn Tài</t>
  </si>
  <si>
    <t>Bản Phảy, xã Quỳ Hợp, tỉnh Nghệ An</t>
  </si>
  <si>
    <t>Số 114/QĐ-TA ngày 13/12/2024</t>
  </si>
  <si>
    <t>Trương Văn Châu</t>
  </si>
  <si>
    <t>Và Bá Chù</t>
  </si>
  <si>
    <t xml:space="preserve"> 040088008150</t>
  </si>
  <si>
    <t>xã Nậm Cắn</t>
  </si>
  <si>
    <t>bản Tiền Tiêu, Nậm Cắn, tỉnh Nghệ An</t>
  </si>
  <si>
    <t>139/QĐ-TA ngày 14/2/2021</t>
  </si>
  <si>
    <t>Lầu Y Phua (Vợ)</t>
  </si>
  <si>
    <t>Mông</t>
  </si>
  <si>
    <t>5/12</t>
  </si>
  <si>
    <t xml:space="preserve">Và Bá Kò </t>
  </si>
  <si>
    <t>xã Mường Lống</t>
  </si>
  <si>
    <t>bản Xám Xúm, xã Mường Lống, tỉnh Nghệ An</t>
  </si>
  <si>
    <t>bản Kèo Lực 1, xã Nậm Cắn, tỉnh Nghệ An</t>
  </si>
  <si>
    <t>Tự nguyện</t>
  </si>
  <si>
    <t>HĐ số 03/HĐ DVCNTN ngày 09/01/2026</t>
  </si>
  <si>
    <t>Và Bá Tu</t>
  </si>
  <si>
    <t>Piêng Hòm, xã Nậm Cắn, tỉnh Nghệ An</t>
  </si>
  <si>
    <t>HĐ số 02/HĐ DVCNTN ngày 09/01/2026</t>
  </si>
  <si>
    <t>Và Ninh Lỳ</t>
  </si>
  <si>
    <t>2( n2019 ở Kỳ Sơn)</t>
  </si>
  <si>
    <t>bản Nọong Dẻ, xã Nậm Cắn, tỉnh Nghệ An</t>
  </si>
  <si>
    <t>HĐ số 04/HĐ DVCNTN ngày 069/01/2026</t>
  </si>
  <si>
    <t>Vy Văn Bôn</t>
  </si>
  <si>
    <t>xã Yên Na</t>
  </si>
  <si>
    <t>Cha Lúm, xã Yên Na, tỉnh Nghệ An</t>
  </si>
  <si>
    <t>bản Cha Lúm, xã Yên Na, tỉnh Nghệ An</t>
  </si>
  <si>
    <t>Số 08/2025/QĐ-TA ngày 13/02/2025</t>
  </si>
  <si>
    <t>11/QĐ-TA ngày 16/4/2026</t>
  </si>
  <si>
    <t>Vi Văn Phòng</t>
  </si>
  <si>
    <t xml:space="preserve">  6/12</t>
  </si>
  <si>
    <t>Vi Văn Hợi</t>
  </si>
  <si>
    <t>2(năm 2022)</t>
  </si>
  <si>
    <t>01/2025/QĐ-TA ngày 10/7/2025</t>
  </si>
  <si>
    <t>Vi Văn Nhuận</t>
  </si>
  <si>
    <t>08/2026/QĐ-TA ngày 16/01/2026</t>
  </si>
  <si>
    <t>Vi Văn Phong</t>
  </si>
  <si>
    <t>05/2026/QĐ-TA ngày 16/01/2026</t>
  </si>
  <si>
    <t>Vy Văn Sơn</t>
  </si>
  <si>
    <t>Bản Tân Mai, xã Nhôn Mai, tỉnh Nghệ An</t>
  </si>
  <si>
    <t>Số 116/2022/QĐ-TA ngày 07/7/2024</t>
  </si>
  <si>
    <t>Vi Văn Thi</t>
  </si>
  <si>
    <t>10/QĐ-TA ngày 16/01/2026</t>
  </si>
  <si>
    <t>Võ Hữu Đức</t>
  </si>
  <si>
    <t>Xóm Hoa Thành, xã Quỳ Hợp, tỉnh Nghệ An</t>
  </si>
  <si>
    <t>Võ Xuân Chân</t>
  </si>
  <si>
    <t>Học văn Hùng</t>
  </si>
  <si>
    <t>2(</t>
  </si>
  <si>
    <t>xã Chiêu Lưu</t>
  </si>
  <si>
    <t>bản Hồng Tiến, xã Chiêu Lưu, tỉnh Nghệ An</t>
  </si>
  <si>
    <t>04/2026/QĐ-TA ngày 22/04/2026</t>
  </si>
  <si>
    <t>Học Văn Ỏn</t>
  </si>
  <si>
    <t xml:space="preserve"> 2/12</t>
  </si>
  <si>
    <t>Lầu Chứ Xo</t>
  </si>
  <si>
    <t>bản Tham Pạng, xã Mương Lống, tỉnh Nghệ An</t>
  </si>
  <si>
    <t>tự nguyện</t>
  </si>
  <si>
    <t>HĐ số 05/HĐ DVCNTN ngày 20/01/2026</t>
  </si>
  <si>
    <t>Vừ Y Pai (vợ)</t>
  </si>
  <si>
    <t>MÔng</t>
  </si>
  <si>
    <t xml:space="preserve"> 0/12</t>
  </si>
  <si>
    <t>Lo Tạnh Thoong</t>
  </si>
  <si>
    <t>bản Nọong Ó, xã Hữu Kiệm, tỉnh Nghệ An</t>
  </si>
  <si>
    <t>02/2026/QĐ-TA ngày 22/04/2026</t>
  </si>
  <si>
    <t>0/12</t>
  </si>
  <si>
    <t>Lô Văn May</t>
  </si>
  <si>
    <t>03/2026/QĐ-TA ngày 22/04/2026</t>
  </si>
  <si>
    <t>1/12</t>
  </si>
  <si>
    <t>Vi văn Tuyền</t>
  </si>
  <si>
    <t>bản Thạch Dương, xã Tương Dương, tỉnh Nghệ An</t>
  </si>
  <si>
    <t>bắt buộc</t>
  </si>
  <si>
    <t>03/2026/QĐ-TA ngày 08/04/2026</t>
  </si>
  <si>
    <t>Vi Dương Thái</t>
  </si>
  <si>
    <t>2(2023 cnbb cs3)</t>
  </si>
  <si>
    <t>xóm Hòa Bắc, xã Tương Dương, tỉnh Nghệ An</t>
  </si>
  <si>
    <t>xóm Hòa Bình, xã Tương Dương, tỉnh Nghệ An</t>
  </si>
  <si>
    <t>12/2026/QĐ-TA ngày 25/05/2026</t>
  </si>
  <si>
    <t>Lương Thị Nga (me đẻ)</t>
  </si>
  <si>
    <t>Nguyễn Đình Tuấn</t>
  </si>
  <si>
    <t>xã Mỹ Lý</t>
  </si>
  <si>
    <t>xóm 03, xã Đô Lương, tỉnh Nghệ An</t>
  </si>
  <si>
    <t>5/2026/QĐ-TA ngày 08/6/2026</t>
  </si>
  <si>
    <t>Nguyễn Thị Hoa (mẹ đẻ)</t>
  </si>
  <si>
    <t>Lương Văn Thọ</t>
  </si>
  <si>
    <t>bản Lở, xã Tương Dương, tỉnh Nghệ An</t>
  </si>
  <si>
    <t>bản Xá Lượng, xã Tương Dương, tỉnh Nghệ An</t>
  </si>
  <si>
    <t>05/2026/QĐ-TA ngày 20/04/2026</t>
  </si>
  <si>
    <t>Ngân Văn Anh</t>
  </si>
  <si>
    <t>xóm Trung Thành , xã Châu Hồng, tỉnh Nghệ An</t>
  </si>
  <si>
    <t>bản Trung Thành , xã Châu Hồng, tỉnh Nghệ An</t>
  </si>
  <si>
    <t>29/2026/QĐ-TA ngày 07/4/2026</t>
  </si>
  <si>
    <t>Ngân Văn Lá(bố)</t>
  </si>
  <si>
    <t>Lương Xuân Thắng</t>
  </si>
  <si>
    <t>32/2026/QĐ-TA ngày 07/4/2026</t>
  </si>
  <si>
    <t>Lương Văn Lập(bố)</t>
  </si>
  <si>
    <t>12/12</t>
  </si>
  <si>
    <t>Lương Văn Đức</t>
  </si>
  <si>
    <t>31/2026/QĐ-TA ngày 07/4/2026</t>
  </si>
  <si>
    <t>Lương Thanh Hợp (cha đẻ)</t>
  </si>
  <si>
    <t>Vi Hoàng Sang</t>
  </si>
  <si>
    <t>bản Na Án, xã Châu Hồng, tỉnh Nghệ An</t>
  </si>
  <si>
    <t>30/2026/QĐ-TA ngày 07/4/2026</t>
  </si>
  <si>
    <t>Vi Văn Xuân (Cha đẻ)</t>
  </si>
  <si>
    <t>Hà Văn Anh</t>
  </si>
  <si>
    <t>bản Cải, xã Châu Hồng, tỉnh Nghệ An</t>
  </si>
  <si>
    <t>33/2026/QĐ-TA ngày 07/4/2026</t>
  </si>
  <si>
    <t>HÀ Văn Ngọc (cha đẻ)</t>
  </si>
  <si>
    <t>Kha Thiên Kiệt</t>
  </si>
  <si>
    <t>2(2018 CCBB)</t>
  </si>
  <si>
    <t>bản Đình Yên, xã Yên Hòa, tỉnh Nghệ An</t>
  </si>
  <si>
    <t>bản Đình Hợp, xã Yên Hòa, tỉnh Nghệ An</t>
  </si>
  <si>
    <t>06/2026/QĐ-TA ngày 14/05/2026</t>
  </si>
  <si>
    <t>Lô Thị Xuân (mẹ đẻ)</t>
  </si>
  <si>
    <t>Đào Văn Dũng</t>
  </si>
  <si>
    <t>xã Văn Hiến</t>
  </si>
  <si>
    <t>xóm Quang Sơn 4, xã Văn Hiến, tỉnh Nghệ An</t>
  </si>
  <si>
    <t>HĐ số 09/HĐ DVCN ngày 26/3/2026</t>
  </si>
  <si>
    <t>Đào Văn Hùng (anh trai)</t>
  </si>
  <si>
    <t>Trần Xuân Huy</t>
  </si>
  <si>
    <t>2(năm 2021 cai tại Cs3)</t>
  </si>
  <si>
    <t>xóm Hòa Nam, xã Tương Dương, tỉnh Nghệ An</t>
  </si>
  <si>
    <t>04/2026/QĐ-TA ngày 20/04/2026</t>
  </si>
  <si>
    <t>Ngô Thị Vân (mẹ đẻ)</t>
  </si>
  <si>
    <t xml:space="preserve"> 8/12</t>
  </si>
  <si>
    <t>Mạc Tuấn Anh</t>
  </si>
  <si>
    <t>bắt lại 27/03/2026</t>
  </si>
  <si>
    <t>307/2021/QĐ-TA ngày 30/11/2021</t>
  </si>
  <si>
    <t>Mạc Văn May(cha đẻ)</t>
  </si>
  <si>
    <t>Vi Văn Thoan</t>
  </si>
  <si>
    <t>bản Mon, xã Tương Dương, tỉnh Nghệ An</t>
  </si>
  <si>
    <t>10/2026/QĐ-TA ngày 25/05/2026</t>
  </si>
  <si>
    <t>10/QĐ-TA ngày 25/5/2026</t>
  </si>
  <si>
    <t>Nguyễn Văn Sơn</t>
  </si>
  <si>
    <t>xóm Rú Bạc, xã Hợp Thành, tỉnh Nghệ An</t>
  </si>
  <si>
    <t>11/2026/QĐ-TA ngày 25/05/2026</t>
  </si>
  <si>
    <t>Dương Văn Nhương</t>
  </si>
  <si>
    <t>thôn An Tiến, xã Nghi Xuân, tỉnh Nghệ An</t>
  </si>
  <si>
    <t>14/2026/QĐ-TA ngày 11/6/2026</t>
  </si>
  <si>
    <t>Nguyễn Thị Hương  (vợ)</t>
  </si>
  <si>
    <t>Quang Tuấn Dũng</t>
  </si>
  <si>
    <t>bản Xốp Khấu, xã Yên Hòa, tỉnh Nghệ An</t>
  </si>
  <si>
    <t>Quang Văn Hồng (cha đẻ)</t>
  </si>
  <si>
    <t>Quang Văn Phú</t>
  </si>
  <si>
    <t>bản Hào, xã Yên Hòa, tỉnh Nghệ An</t>
  </si>
  <si>
    <t>bản Xiêng Men, xã Yên Hòa, tỉnh Nghệ An</t>
  </si>
  <si>
    <t>07/2026/QĐ-TA ngày 14/05/2026</t>
  </si>
  <si>
    <t>Quang Phú Hải (cha đẻ)</t>
  </si>
  <si>
    <t>Vi Bảo Hương</t>
  </si>
  <si>
    <t>HĐ số 11/HĐ DVCN ngày 16/4/2026</t>
  </si>
  <si>
    <t>Lữ Xén Thay</t>
  </si>
  <si>
    <t>thái</t>
  </si>
  <si>
    <t>Kha Văn Hải</t>
  </si>
  <si>
    <t>HĐ số 12/HĐ DVCN ngày 27/4/2026</t>
  </si>
  <si>
    <t>Lô Thị Ma (mẹ đẻ)</t>
  </si>
  <si>
    <t>Vi Đức Mạnh</t>
  </si>
  <si>
    <t>bản Hòa Sơn, xã Mường Xén, tỉnh Nghệ An</t>
  </si>
  <si>
    <t>vào 29/2/2026 trốn 6/6/2026 bắt lại 19/5/2026</t>
  </si>
  <si>
    <t>13/QĐ-TA ngày 17/5/2024</t>
  </si>
  <si>
    <t>Vi Lu Xa</t>
  </si>
  <si>
    <t>bản Khe Nằn, xã Chiêu Lưu, tỉnh Nghệ An</t>
  </si>
  <si>
    <t>06/2026/QĐ-TA</t>
  </si>
  <si>
    <t>Lương Văn Mun</t>
  </si>
  <si>
    <t>bản Cù, xã Chiêu Lưu, tỉnh Nghệ An</t>
  </si>
  <si>
    <t>7/2026/QĐ-TA ngày 24/6/2026</t>
  </si>
  <si>
    <t>Lương Văn Đoàn (Cha đẻ)</t>
  </si>
  <si>
    <t>Lộc Văn Thư</t>
  </si>
  <si>
    <t xml:space="preserve"> 58/2026/QĐ-TA ngày 18/6/2026</t>
  </si>
  <si>
    <t>Lo Thị Xuân (vợ)</t>
  </si>
  <si>
    <t>Ngân Văn Sơn</t>
  </si>
  <si>
    <t xml:space="preserve"> 55/2026/QĐ-TA ngày 18/6/2026</t>
  </si>
  <si>
    <t>Ngân Văn Cường (cha đẻ)</t>
  </si>
  <si>
    <t>Hà Văn Hoàng</t>
  </si>
  <si>
    <t>bản Cô, xã Châu Hồng, tỉnh Nghệ An</t>
  </si>
  <si>
    <t>Trung Thành/ Tiến Thành</t>
  </si>
  <si>
    <t xml:space="preserve"> 57/2026/QĐ-TA ngày 18/6/2026</t>
  </si>
  <si>
    <t>Hà Văn Hình (cha đẻ)</t>
  </si>
  <si>
    <t>Lữ Văn Thao</t>
  </si>
  <si>
    <t>2 (24th Nghĩa Đức năm 2029)</t>
  </si>
  <si>
    <t xml:space="preserve"> 54/2026/QĐ-TA ngày 18/6/2026</t>
  </si>
  <si>
    <t>Lữ Văn Nghiệp (cha đẻ)</t>
  </si>
  <si>
    <t>Vi Văn Đoài</t>
  </si>
  <si>
    <t>xã Cam Phục</t>
  </si>
  <si>
    <t>bản Xiềng, xã Cam Phục, tỉnh Nghệ An</t>
  </si>
  <si>
    <t>HĐ số 16/HĐ DVCN ngày 4/6/2026</t>
  </si>
  <si>
    <t>Ven Phò Phương</t>
  </si>
  <si>
    <t>08/2026/QĐ-TA ngày 29/06/2026</t>
  </si>
  <si>
    <t>Khu vực 12-tỉnh Nghệ An</t>
  </si>
  <si>
    <t>Ven Mẹ Phương (vợ)</t>
  </si>
  <si>
    <t>La Văn Xáo</t>
  </si>
  <si>
    <t>Lưu trú</t>
  </si>
  <si>
    <t>Kha Văn Thân</t>
  </si>
  <si>
    <t>bản Xằng Trên, xã Mỹ Lý, tỉnh Nghệ An</t>
  </si>
  <si>
    <t>HĐ số 17/HĐ DVCN ngày 16/6/2026</t>
  </si>
  <si>
    <t>Kha Văn Luyện</t>
  </si>
  <si>
    <t>Kha Văn Sáo</t>
  </si>
  <si>
    <t>HĐ số 18/HĐ DVCN ngày 16/6/2026</t>
  </si>
  <si>
    <t>Kha Thị Hoa (mẹ)</t>
  </si>
  <si>
    <t>Và Vả Tho</t>
  </si>
  <si>
    <t>Thò Y Chư (vợ)</t>
  </si>
  <si>
    <t>Và Giống Nênh</t>
  </si>
  <si>
    <t>Vừ Y Sềnh(vợ)</t>
  </si>
  <si>
    <t>Lầu Tồng Xênh</t>
  </si>
  <si>
    <t>09/2026/QĐ-TA ngày 30/01/2026</t>
  </si>
  <si>
    <t>Và Y Dìa (vợ)</t>
  </si>
  <si>
    <t xml:space="preserve"> 1/12</t>
  </si>
  <si>
    <t>Lô Văn Bún</t>
  </si>
  <si>
    <t>lưu trú</t>
  </si>
  <si>
    <t>Lương Phò Xúc</t>
  </si>
  <si>
    <t>bản Khe Linh, xã Keng Đu, tỉnh Nghệ An</t>
  </si>
  <si>
    <t>Kha Văn Long</t>
  </si>
  <si>
    <t>Trương Văn Kiên</t>
  </si>
  <si>
    <t>Trương Văn Thuyên (Cha đẻ)</t>
  </si>
  <si>
    <t>Lô Xuân Thẩm</t>
  </si>
  <si>
    <t>Lô Xuân Cương (cha đẻ)</t>
  </si>
  <si>
    <t>Cụt Văn May</t>
  </si>
  <si>
    <t>Cụt Mẹ May (vợ)</t>
  </si>
  <si>
    <t xml:space="preserve">  5/10</t>
  </si>
  <si>
    <t>Lô Trung Kiên</t>
  </si>
  <si>
    <t>bản Huồi phuôn 2, xã Keng Đu, tỉnh Nghệ An</t>
  </si>
  <si>
    <t>HĐ số 20/HĐ DVCN ngày 24/6/2026</t>
  </si>
  <si>
    <t>Xeo Thị May (mẹ đẻ)</t>
  </si>
  <si>
    <t>Lê Ngọc Hiếu</t>
  </si>
  <si>
    <t>xã Đại Đồng</t>
  </si>
  <si>
    <t>Thôn Thanh Liêu, xã Tam Đồng, tỉnh Nghệ An</t>
  </si>
  <si>
    <t>Thôn Tiên Hội, xã Tam Đồng, tỉnh Nghệ An</t>
  </si>
  <si>
    <t>HĐ số 22/HĐ DVCN ngày 27/6/2026</t>
  </si>
  <si>
    <t>Và Bá Cồ</t>
  </si>
  <si>
    <t>bản Trung Tâm, xã Mường Lống, tỉnh Nghệ An</t>
  </si>
  <si>
    <t>Vi Văn Sùng</t>
  </si>
  <si>
    <t>bản Hạt, xã Yên Na, tỉnh Nghệ An</t>
  </si>
  <si>
    <t>bản Yên Tĩnh, xã Yên Na, tỉnh Nghệ An</t>
  </si>
  <si>
    <t>vào ngày 4/5/2026, trốn ngày 29/6/2021, và lại 4/7/2021</t>
  </si>
  <si>
    <t>Vi Văn Tường (cha đẻ)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</si>
</sst>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 0000\ 0000"/>
    <numFmt numFmtId="165" formatCode="[$-1010000]d/m/yyyy;@"/>
  </numFmts>
  <fonts count="8" x14ac:knownFonts="1">
    <font>
      <sz val="12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C00000"/>
      <name val="Times New Roman"/>
      <family val="1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7">
    <xf numFmtId="0" fontId="0" fillId="0" borderId="0" xfId="0"/>
    <xf numFmtId="0" fontId="3" fillId="2" borderId="1" xfId="1" applyNumberFormat="1" applyFont="1" applyFill="1" applyBorder="1" applyAlignment="1">
      <alignment horizontal="center" vertical="center" wrapText="1" shrinkToFit="1"/>
    </xf>
    <xf numFmtId="164" fontId="3" fillId="2" borderId="1" xfId="1" applyNumberFormat="1" applyFont="1" applyFill="1" applyBorder="1" applyAlignment="1">
      <alignment horizontal="center" vertical="center" wrapText="1" shrinkToFit="1"/>
    </xf>
    <xf numFmtId="14" fontId="3" fillId="2" borderId="1" xfId="1" applyNumberFormat="1" applyFont="1" applyFill="1" applyBorder="1" applyAlignment="1">
      <alignment horizontal="center" vertical="center" wrapText="1" shrinkToFit="1"/>
    </xf>
    <xf numFmtId="1" fontId="3" fillId="2" borderId="1" xfId="1" applyNumberFormat="1" applyFont="1" applyFill="1" applyBorder="1" applyAlignment="1">
      <alignment horizontal="center" vertical="center" wrapText="1" shrinkToFit="1"/>
    </xf>
    <xf numFmtId="0" fontId="3" fillId="2" borderId="1" xfId="1" applyNumberFormat="1" applyFont="1" applyFill="1" applyBorder="1" applyAlignment="1">
      <alignment vertical="center" wrapText="1" shrinkToFit="1"/>
    </xf>
    <xf numFmtId="49" fontId="3" fillId="2" borderId="1" xfId="1" applyNumberFormat="1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 shrinkToFit="1"/>
    </xf>
    <xf numFmtId="14" fontId="4" fillId="3" borderId="1" xfId="0" applyNumberFormat="1" applyFont="1" applyFill="1" applyBorder="1" applyAlignment="1">
      <alignment horizontal="center" vertical="center" wrapText="1" shrinkToFit="1"/>
    </xf>
    <xf numFmtId="1" fontId="4" fillId="3" borderId="1" xfId="0" applyNumberFormat="1" applyFont="1" applyFill="1" applyBorder="1" applyAlignment="1">
      <alignment horizontal="center" vertical="center" wrapText="1" shrinkToFit="1"/>
    </xf>
    <xf numFmtId="14" fontId="4" fillId="2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 shrinkToFit="1"/>
    </xf>
    <xf numFmtId="165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 shrinkToFit="1"/>
    </xf>
    <xf numFmtId="1" fontId="4" fillId="2" borderId="1" xfId="0" applyNumberFormat="1" applyFont="1" applyFill="1" applyBorder="1" applyAlignment="1">
      <alignment horizontal="center" vertical="center" wrapText="1" shrinkToFit="1"/>
    </xf>
    <xf numFmtId="17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horizontal="center" vertical="center" wrapText="1" shrinkToFit="1"/>
    </xf>
    <xf numFmtId="164" fontId="4" fillId="2" borderId="1" xfId="2" applyNumberFormat="1" applyFont="1" applyFill="1" applyBorder="1" applyAlignment="1">
      <alignment horizontal="center" vertical="center" wrapText="1" shrinkToFit="1"/>
    </xf>
    <xf numFmtId="14" fontId="4" fillId="2" borderId="1" xfId="0" applyNumberFormat="1" applyFont="1" applyFill="1" applyBorder="1" applyAlignment="1">
      <alignment horizontal="center" vertical="center" wrapText="1" shrinkToFit="1"/>
    </xf>
    <xf numFmtId="164" fontId="5" fillId="3" borderId="1" xfId="0" applyNumberFormat="1" applyFont="1" applyFill="1" applyBorder="1" applyAlignment="1">
      <alignment horizontal="center" vertical="center" wrapText="1" shrinkToFit="1"/>
    </xf>
    <xf numFmtId="14" fontId="5" fillId="3" borderId="1" xfId="0" applyNumberFormat="1" applyFont="1" applyFill="1" applyBorder="1" applyAlignment="1">
      <alignment horizontal="center" vertical="center" wrapText="1" shrinkToFit="1"/>
    </xf>
    <xf numFmtId="1" fontId="5" fillId="3" borderId="1" xfId="0" applyNumberFormat="1" applyFont="1" applyFill="1" applyBorder="1" applyAlignment="1">
      <alignment horizontal="center" vertical="center" wrapText="1" shrinkToFit="1"/>
    </xf>
    <xf numFmtId="14" fontId="5" fillId="3" borderId="1" xfId="0" applyNumberFormat="1" applyFont="1" applyFill="1" applyBorder="1" applyAlignment="1">
      <alignment wrapText="1" shrinkToFit="1"/>
    </xf>
    <xf numFmtId="1" fontId="4" fillId="2" borderId="1" xfId="2" applyNumberFormat="1" applyFont="1" applyFill="1" applyBorder="1" applyAlignment="1">
      <alignment horizontal="center" vertical="center" wrapText="1" shrinkToFit="1"/>
    </xf>
    <xf numFmtId="0" fontId="4" fillId="2" borderId="1" xfId="0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 shrinkToFit="1"/>
    </xf>
    <xf numFmtId="14" fontId="4" fillId="2" borderId="1" xfId="0" applyNumberFormat="1" applyFont="1" applyFill="1" applyBorder="1" applyAlignment="1">
      <alignment wrapText="1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wrapText="1"/>
    </xf>
    <xf numFmtId="164" fontId="4" fillId="3" borderId="4" xfId="0" applyNumberFormat="1" applyFont="1" applyFill="1" applyBorder="1" applyAlignment="1">
      <alignment horizontal="center" vertical="center" wrapText="1" shrinkToFit="1"/>
    </xf>
    <xf numFmtId="14" fontId="4" fillId="3" borderId="4" xfId="0" applyNumberFormat="1" applyFont="1" applyFill="1" applyBorder="1" applyAlignment="1">
      <alignment horizontal="center" vertical="center" wrapText="1" shrinkToFit="1"/>
    </xf>
    <xf numFmtId="1" fontId="4" fillId="3" borderId="4" xfId="0" applyNumberFormat="1" applyFont="1" applyFill="1" applyBorder="1" applyAlignment="1">
      <alignment horizontal="center" vertical="center" wrapText="1" shrinkToFit="1"/>
    </xf>
    <xf numFmtId="1" fontId="4" fillId="2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 shrinkToFit="1"/>
    </xf>
    <xf numFmtId="14" fontId="4" fillId="0" borderId="3" xfId="0" applyNumberFormat="1" applyFont="1" applyBorder="1" applyAlignment="1">
      <alignment vertical="center"/>
    </xf>
    <xf numFmtId="14" fontId="4" fillId="0" borderId="3" xfId="0" applyNumberFormat="1" applyFont="1" applyBorder="1" applyAlignment="1"/>
    <xf numFmtId="14" fontId="4" fillId="2" borderId="3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wrapText="1"/>
    </xf>
    <xf numFmtId="0" fontId="7" fillId="0" borderId="0" xfId="0" applyFont="1" applyAlignment="1">
      <alignment wrapText="1"/>
    </xf>
    <xf numFmtId="14" fontId="5" fillId="2" borderId="3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wrapText="1"/>
    </xf>
    <xf numFmtId="0" fontId="5" fillId="2" borderId="3" xfId="0" applyFont="1" applyFill="1" applyBorder="1" applyAlignment="1">
      <alignment horizontal="left" vertical="center" wrapText="1"/>
    </xf>
    <xf numFmtId="14" fontId="5" fillId="2" borderId="3" xfId="0" applyNumberFormat="1" applyFont="1" applyFill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left" vertical="center" wrapText="1"/>
    </xf>
    <xf numFmtId="14" fontId="5" fillId="2" borderId="3" xfId="0" applyNumberFormat="1" applyFont="1" applyFill="1" applyBorder="1" applyAlignment="1">
      <alignment horizontal="left" wrapText="1"/>
    </xf>
    <xf numFmtId="14" fontId="4" fillId="2" borderId="0" xfId="0" applyNumberFormat="1" applyFont="1" applyFill="1" applyAlignment="1">
      <alignment horizontal="center" vertical="center" wrapText="1"/>
    </xf>
    <xf numFmtId="16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tabSelected="1" topLeftCell="A91" workbookViewId="0">
      <selection activeCell="C98" sqref="C98"/>
    </sheetView>
  </sheetViews>
  <sheetFormatPr defaultRowHeight="15.75" x14ac:dyDescent="0.25"/>
  <cols>
    <col min="1" max="1" width="5.125" customWidth="1"/>
    <col min="2" max="2" width="22.125" customWidth="1"/>
    <col min="3" max="3" width="16.25" customWidth="1"/>
    <col min="4" max="6" width="13.25" customWidth="1"/>
    <col min="7" max="7" width="9.5" customWidth="1"/>
    <col min="8" max="8" width="10.625" customWidth="1"/>
    <col min="9" max="9" width="11.875" customWidth="1"/>
    <col min="10" max="10" width="14.875" customWidth="1"/>
    <col min="11" max="12" width="10.5" customWidth="1"/>
    <col min="13" max="14" width="24.625" customWidth="1"/>
    <col min="15" max="15" width="13.25" customWidth="1"/>
    <col min="16" max="16" width="11.125" customWidth="1"/>
    <col min="17" max="17" width="14.125" customWidth="1"/>
    <col min="18" max="18" width="7.5" customWidth="1"/>
    <col min="19" max="19" width="8.375" customWidth="1"/>
    <col min="20" max="20" width="14.25" customWidth="1"/>
    <col min="21" max="21" width="10" customWidth="1"/>
    <col min="22" max="22" width="12.625" customWidth="1"/>
    <col min="23" max="23" width="11" customWidth="1"/>
    <col min="24" max="24" width="9.25" customWidth="1"/>
    <col min="25" max="25" width="9.625" customWidth="1"/>
    <col min="26" max="26" width="16" customWidth="1"/>
    <col min="27" max="27" width="8.5" customWidth="1"/>
    <col min="28" max="28" width="8.375" customWidth="1"/>
    <col min="29" max="29" width="7.875"/>
  </cols>
  <sheetData>
    <row r="1" spans="1:29" ht="47.2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8" t="s">
        <v>28</v>
      </c>
    </row>
    <row r="2" spans="1:29" ht="47.25" x14ac:dyDescent="0.25">
      <c r="A2" s="9">
        <f>SUBTOTAL(3,$B2:B$2)</f>
        <v>1</v>
      </c>
      <c r="B2" s="10" t="s">
        <v>29</v>
      </c>
      <c r="C2" s="11">
        <v>40089024779</v>
      </c>
      <c r="D2" s="12"/>
      <c r="E2" s="13">
        <v>0</v>
      </c>
      <c r="F2" s="13"/>
      <c r="G2" s="13">
        <v>1</v>
      </c>
      <c r="H2" s="13">
        <v>0</v>
      </c>
      <c r="I2" s="14">
        <v>32665</v>
      </c>
      <c r="J2" s="15">
        <f t="shared" ref="J2:J65" ca="1" si="0">INT(YEARFRAC(I2,TODAY()))</f>
        <v>37</v>
      </c>
      <c r="K2" s="10" t="s">
        <v>30</v>
      </c>
      <c r="L2" s="10"/>
      <c r="M2" s="16" t="s">
        <v>31</v>
      </c>
      <c r="N2" s="16" t="s">
        <v>32</v>
      </c>
      <c r="O2" s="14">
        <v>46001</v>
      </c>
      <c r="P2" s="14">
        <f>EDATE(O2,W2)</f>
        <v>46731</v>
      </c>
      <c r="Q2" s="17"/>
      <c r="R2" s="17">
        <v>12</v>
      </c>
      <c r="S2" s="15" t="s">
        <v>33</v>
      </c>
      <c r="T2" s="15" t="e">
        <f t="shared" ref="T2:T9" si="1">DATEDIF(O2,$J$1,"m")</f>
        <v>#VALUE!</v>
      </c>
      <c r="U2" s="17" t="e">
        <f t="shared" ref="U2:U9" si="2">DATEDIF(O2,$J$1,"md")</f>
        <v>#VALUE!</v>
      </c>
      <c r="V2" s="16" t="s">
        <v>34</v>
      </c>
      <c r="W2" s="15">
        <v>24</v>
      </c>
      <c r="X2" s="10" t="s">
        <v>35</v>
      </c>
      <c r="Y2" s="10"/>
      <c r="Z2" s="10"/>
      <c r="AA2" s="10" t="s">
        <v>36</v>
      </c>
      <c r="AB2" s="10" t="s">
        <v>37</v>
      </c>
      <c r="AC2" s="18"/>
    </row>
    <row r="3" spans="1:29" ht="63" x14ac:dyDescent="0.25">
      <c r="A3" s="9">
        <f>SUBTOTAL(3,$B$2:B3)</f>
        <v>2</v>
      </c>
      <c r="B3" s="16" t="s">
        <v>38</v>
      </c>
      <c r="C3" s="11">
        <v>40088004228</v>
      </c>
      <c r="D3" s="12">
        <v>32367</v>
      </c>
      <c r="E3" s="13">
        <v>0</v>
      </c>
      <c r="F3" s="13"/>
      <c r="G3" s="13">
        <v>0</v>
      </c>
      <c r="H3" s="13">
        <v>0</v>
      </c>
      <c r="I3" s="19">
        <v>32367</v>
      </c>
      <c r="J3" s="15">
        <f t="shared" ca="1" si="0"/>
        <v>37</v>
      </c>
      <c r="K3" s="10" t="s">
        <v>39</v>
      </c>
      <c r="L3" s="10"/>
      <c r="M3" s="16" t="s">
        <v>40</v>
      </c>
      <c r="N3" s="16" t="s">
        <v>41</v>
      </c>
      <c r="O3" s="12">
        <v>46027</v>
      </c>
      <c r="P3" s="14">
        <f>EDATE(O3,W3)</f>
        <v>46573</v>
      </c>
      <c r="Q3" s="17"/>
      <c r="R3" s="17">
        <v>7</v>
      </c>
      <c r="S3" s="15" t="s">
        <v>33</v>
      </c>
      <c r="T3" s="15" t="e">
        <f t="shared" si="1"/>
        <v>#VALUE!</v>
      </c>
      <c r="U3" s="13" t="e">
        <f t="shared" si="2"/>
        <v>#VALUE!</v>
      </c>
      <c r="V3" s="16" t="s">
        <v>42</v>
      </c>
      <c r="W3" s="15">
        <v>18</v>
      </c>
      <c r="X3" s="10" t="s">
        <v>43</v>
      </c>
      <c r="Y3" s="10"/>
      <c r="Z3" s="10" t="s">
        <v>44</v>
      </c>
      <c r="AA3" s="10" t="s">
        <v>36</v>
      </c>
      <c r="AB3" s="10" t="s">
        <v>45</v>
      </c>
      <c r="AC3" s="18"/>
    </row>
    <row r="4" spans="1:29" ht="47.25" x14ac:dyDescent="0.25">
      <c r="A4" s="9">
        <f>SUBTOTAL(3,$B$2:B4)</f>
        <v>3</v>
      </c>
      <c r="B4" s="16" t="s">
        <v>46</v>
      </c>
      <c r="C4" s="11">
        <v>40098018010</v>
      </c>
      <c r="D4" s="12"/>
      <c r="E4" s="13">
        <v>0</v>
      </c>
      <c r="F4" s="13"/>
      <c r="G4" s="13">
        <v>1</v>
      </c>
      <c r="H4" s="13">
        <v>0</v>
      </c>
      <c r="I4" s="19">
        <v>35843</v>
      </c>
      <c r="J4" s="15">
        <f t="shared" ca="1" si="0"/>
        <v>28</v>
      </c>
      <c r="K4" s="10" t="s">
        <v>47</v>
      </c>
      <c r="L4" s="10"/>
      <c r="M4" s="10" t="s">
        <v>48</v>
      </c>
      <c r="N4" s="10" t="s">
        <v>49</v>
      </c>
      <c r="O4" s="12">
        <v>46001</v>
      </c>
      <c r="P4" s="14">
        <v>46336</v>
      </c>
      <c r="Q4" s="17"/>
      <c r="R4" s="17">
        <v>7</v>
      </c>
      <c r="S4" s="15" t="s">
        <v>33</v>
      </c>
      <c r="T4" s="15" t="e">
        <f t="shared" si="1"/>
        <v>#VALUE!</v>
      </c>
      <c r="U4" s="13" t="e">
        <f t="shared" si="2"/>
        <v>#VALUE!</v>
      </c>
      <c r="V4" s="16" t="s">
        <v>50</v>
      </c>
      <c r="W4" s="15">
        <v>19</v>
      </c>
      <c r="X4" s="10" t="s">
        <v>43</v>
      </c>
      <c r="Y4" s="10"/>
      <c r="Z4" s="10" t="s">
        <v>51</v>
      </c>
      <c r="AA4" s="10" t="s">
        <v>36</v>
      </c>
      <c r="AB4" s="10" t="s">
        <v>45</v>
      </c>
      <c r="AC4" s="18"/>
    </row>
    <row r="5" spans="1:29" ht="63" x14ac:dyDescent="0.25">
      <c r="A5" s="9">
        <f>SUBTOTAL(3,$B$2:B5)</f>
        <v>4</v>
      </c>
      <c r="B5" s="21" t="s">
        <v>52</v>
      </c>
      <c r="C5" s="22">
        <v>40074027430</v>
      </c>
      <c r="D5" s="23">
        <v>44719</v>
      </c>
      <c r="E5" s="24">
        <v>0</v>
      </c>
      <c r="F5" s="24"/>
      <c r="G5" s="24">
        <v>0</v>
      </c>
      <c r="H5" s="24">
        <v>0</v>
      </c>
      <c r="I5" s="23">
        <v>27338</v>
      </c>
      <c r="J5" s="25">
        <f t="shared" ca="1" si="0"/>
        <v>51</v>
      </c>
      <c r="K5" s="21" t="s">
        <v>39</v>
      </c>
      <c r="L5" s="21"/>
      <c r="M5" s="21" t="s">
        <v>53</v>
      </c>
      <c r="N5" s="21" t="s">
        <v>53</v>
      </c>
      <c r="O5" s="23">
        <v>45335</v>
      </c>
      <c r="P5" s="23">
        <v>46248</v>
      </c>
      <c r="Q5" s="24">
        <v>8</v>
      </c>
      <c r="R5" s="24"/>
      <c r="S5" s="25" t="s">
        <v>33</v>
      </c>
      <c r="T5" s="25" t="e">
        <f t="shared" si="1"/>
        <v>#VALUE!</v>
      </c>
      <c r="U5" s="24" t="e">
        <f t="shared" si="2"/>
        <v>#VALUE!</v>
      </c>
      <c r="V5" s="21" t="s">
        <v>54</v>
      </c>
      <c r="W5" s="24">
        <v>19</v>
      </c>
      <c r="X5" s="21" t="s">
        <v>43</v>
      </c>
      <c r="Y5" s="21" t="s">
        <v>55</v>
      </c>
      <c r="Z5" s="21" t="s">
        <v>56</v>
      </c>
      <c r="AA5" s="21" t="s">
        <v>36</v>
      </c>
      <c r="AB5" s="21" t="s">
        <v>57</v>
      </c>
      <c r="AC5" s="26"/>
    </row>
    <row r="6" spans="1:29" ht="47.25" x14ac:dyDescent="0.25">
      <c r="A6" s="9">
        <f>SUBTOTAL(3,$B$2:B6)</f>
        <v>5</v>
      </c>
      <c r="B6" s="10" t="s">
        <v>58</v>
      </c>
      <c r="C6" s="27">
        <v>40202006163</v>
      </c>
      <c r="D6" s="14"/>
      <c r="E6" s="17">
        <v>0</v>
      </c>
      <c r="F6" s="17"/>
      <c r="G6" s="17">
        <v>0</v>
      </c>
      <c r="H6" s="17">
        <v>0</v>
      </c>
      <c r="I6" s="14">
        <v>37603</v>
      </c>
      <c r="J6" s="15">
        <f t="shared" ca="1" si="0"/>
        <v>23</v>
      </c>
      <c r="K6" s="10" t="s">
        <v>30</v>
      </c>
      <c r="L6" s="10"/>
      <c r="M6" s="10" t="s">
        <v>59</v>
      </c>
      <c r="N6" s="10" t="s">
        <v>59</v>
      </c>
      <c r="O6" s="19">
        <v>45993</v>
      </c>
      <c r="P6" s="14">
        <f>EDATE(O6,W6)</f>
        <v>46540</v>
      </c>
      <c r="Q6" s="17"/>
      <c r="R6" s="17">
        <v>6</v>
      </c>
      <c r="S6" s="15" t="s">
        <v>33</v>
      </c>
      <c r="T6" s="15" t="e">
        <f t="shared" si="1"/>
        <v>#VALUE!</v>
      </c>
      <c r="U6" s="15" t="e">
        <f t="shared" si="2"/>
        <v>#VALUE!</v>
      </c>
      <c r="V6" s="16" t="s">
        <v>60</v>
      </c>
      <c r="W6" s="17">
        <v>18</v>
      </c>
      <c r="X6" s="10" t="s">
        <v>35</v>
      </c>
      <c r="Y6" s="10"/>
      <c r="Z6" s="10"/>
      <c r="AA6" s="10" t="s">
        <v>36</v>
      </c>
      <c r="AB6" s="28" t="s">
        <v>37</v>
      </c>
      <c r="AC6" s="18"/>
    </row>
    <row r="7" spans="1:29" ht="47.25" x14ac:dyDescent="0.25">
      <c r="A7" s="9">
        <f>SUBTOTAL(3,$B$2:B7)</f>
        <v>6</v>
      </c>
      <c r="B7" s="16" t="s">
        <v>61</v>
      </c>
      <c r="C7" s="29">
        <v>40095023354</v>
      </c>
      <c r="D7" s="19"/>
      <c r="E7" s="15">
        <v>0</v>
      </c>
      <c r="F7" s="15"/>
      <c r="G7" s="15">
        <v>1</v>
      </c>
      <c r="H7" s="15">
        <v>0</v>
      </c>
      <c r="I7" s="19">
        <v>34948</v>
      </c>
      <c r="J7" s="15">
        <f t="shared" ca="1" si="0"/>
        <v>30</v>
      </c>
      <c r="K7" s="10" t="s">
        <v>30</v>
      </c>
      <c r="L7" s="10"/>
      <c r="M7" s="16" t="s">
        <v>62</v>
      </c>
      <c r="N7" s="16" t="s">
        <v>63</v>
      </c>
      <c r="O7" s="19">
        <v>45993</v>
      </c>
      <c r="P7" s="14">
        <f>EDATE(O7,W7)</f>
        <v>46723</v>
      </c>
      <c r="Q7" s="17"/>
      <c r="R7" s="17">
        <v>12</v>
      </c>
      <c r="S7" s="15" t="s">
        <v>33</v>
      </c>
      <c r="T7" s="15" t="e">
        <f t="shared" si="1"/>
        <v>#VALUE!</v>
      </c>
      <c r="U7" s="15" t="e">
        <f t="shared" si="2"/>
        <v>#VALUE!</v>
      </c>
      <c r="V7" s="16" t="s">
        <v>64</v>
      </c>
      <c r="W7" s="15">
        <v>24</v>
      </c>
      <c r="X7" s="10" t="s">
        <v>35</v>
      </c>
      <c r="Y7" s="10"/>
      <c r="Z7" s="10"/>
      <c r="AA7" s="10" t="s">
        <v>36</v>
      </c>
      <c r="AB7" s="10" t="s">
        <v>65</v>
      </c>
      <c r="AC7" s="18"/>
    </row>
    <row r="8" spans="1:29" ht="47.25" x14ac:dyDescent="0.25">
      <c r="A8" s="9">
        <f>SUBTOTAL(3,$B$2:B8)</f>
        <v>7</v>
      </c>
      <c r="B8" s="10" t="s">
        <v>66</v>
      </c>
      <c r="C8" s="27">
        <v>40090010105</v>
      </c>
      <c r="D8" s="14"/>
      <c r="E8" s="30">
        <v>0</v>
      </c>
      <c r="F8" s="17"/>
      <c r="G8" s="17">
        <v>0</v>
      </c>
      <c r="H8" s="17">
        <v>0</v>
      </c>
      <c r="I8" s="14">
        <v>33063</v>
      </c>
      <c r="J8" s="15">
        <f t="shared" ca="1" si="0"/>
        <v>36</v>
      </c>
      <c r="K8" s="10" t="s">
        <v>67</v>
      </c>
      <c r="L8" s="10"/>
      <c r="M8" s="10" t="s">
        <v>68</v>
      </c>
      <c r="N8" s="10"/>
      <c r="O8" s="31">
        <v>45774</v>
      </c>
      <c r="P8" s="14">
        <f>EDATE(O8,W8)</f>
        <v>46292</v>
      </c>
      <c r="Q8" s="17">
        <v>9</v>
      </c>
      <c r="R8" s="17"/>
      <c r="S8" s="15" t="s">
        <v>33</v>
      </c>
      <c r="T8" s="15" t="e">
        <f t="shared" si="1"/>
        <v>#VALUE!</v>
      </c>
      <c r="U8" s="15" t="e">
        <f t="shared" si="2"/>
        <v>#VALUE!</v>
      </c>
      <c r="V8" s="32" t="s">
        <v>69</v>
      </c>
      <c r="W8" s="13">
        <v>17</v>
      </c>
      <c r="X8" s="10" t="s">
        <v>43</v>
      </c>
      <c r="Y8" s="10"/>
      <c r="Z8" s="10"/>
      <c r="AA8" s="10" t="s">
        <v>36</v>
      </c>
      <c r="AB8" s="10"/>
      <c r="AC8" s="18"/>
    </row>
    <row r="9" spans="1:29" ht="47.25" x14ac:dyDescent="0.25">
      <c r="A9" s="9">
        <f>SUBTOTAL(3,$B$2:B9)</f>
        <v>8</v>
      </c>
      <c r="B9" s="16" t="s">
        <v>70</v>
      </c>
      <c r="C9" s="27">
        <v>40088020044</v>
      </c>
      <c r="D9" s="19"/>
      <c r="E9" s="17" t="s">
        <v>71</v>
      </c>
      <c r="F9" s="17"/>
      <c r="G9" s="15">
        <v>0</v>
      </c>
      <c r="H9" s="15">
        <v>0</v>
      </c>
      <c r="I9" s="19">
        <v>32420</v>
      </c>
      <c r="J9" s="15">
        <f t="shared" ca="1" si="0"/>
        <v>37</v>
      </c>
      <c r="K9" s="10" t="s">
        <v>72</v>
      </c>
      <c r="L9" s="10"/>
      <c r="M9" s="16" t="s">
        <v>73</v>
      </c>
      <c r="N9" s="16"/>
      <c r="O9" s="33">
        <v>45807</v>
      </c>
      <c r="P9" s="14">
        <f>EDATE(O9,W9)</f>
        <v>46417</v>
      </c>
      <c r="Q9" s="17"/>
      <c r="R9" s="17">
        <v>1</v>
      </c>
      <c r="S9" s="15" t="s">
        <v>33</v>
      </c>
      <c r="T9" s="15" t="e">
        <f t="shared" si="1"/>
        <v>#VALUE!</v>
      </c>
      <c r="U9" s="17" t="e">
        <f t="shared" si="2"/>
        <v>#VALUE!</v>
      </c>
      <c r="V9" s="34" t="s">
        <v>74</v>
      </c>
      <c r="W9" s="35">
        <v>20</v>
      </c>
      <c r="X9" s="10" t="s">
        <v>75</v>
      </c>
      <c r="Y9" s="10"/>
      <c r="Z9" s="10"/>
      <c r="AA9" s="10" t="s">
        <v>76</v>
      </c>
      <c r="AB9" s="10" t="s">
        <v>77</v>
      </c>
      <c r="AC9" s="18"/>
    </row>
    <row r="10" spans="1:29" ht="78.75" x14ac:dyDescent="0.25">
      <c r="A10" s="9">
        <f>SUBTOTAL(3,$B$2:B10)</f>
        <v>9</v>
      </c>
      <c r="B10" s="10" t="s">
        <v>78</v>
      </c>
      <c r="C10" s="29">
        <v>40085030245</v>
      </c>
      <c r="D10" s="14"/>
      <c r="E10" s="17">
        <v>0</v>
      </c>
      <c r="F10" s="17"/>
      <c r="G10" s="17">
        <v>0</v>
      </c>
      <c r="H10" s="17">
        <v>0</v>
      </c>
      <c r="I10" s="14">
        <v>31151</v>
      </c>
      <c r="J10" s="15">
        <f t="shared" ca="1" si="0"/>
        <v>41</v>
      </c>
      <c r="K10" s="10" t="s">
        <v>79</v>
      </c>
      <c r="L10" s="10"/>
      <c r="M10" s="10" t="s">
        <v>80</v>
      </c>
      <c r="N10" s="10"/>
      <c r="O10" s="14" t="s">
        <v>81</v>
      </c>
      <c r="P10" s="14">
        <v>46385</v>
      </c>
      <c r="Q10" s="17">
        <v>12</v>
      </c>
      <c r="R10" s="17"/>
      <c r="S10" s="15" t="s">
        <v>33</v>
      </c>
      <c r="T10" s="15"/>
      <c r="U10" s="17"/>
      <c r="V10" s="16" t="s">
        <v>82</v>
      </c>
      <c r="W10" s="17">
        <v>18</v>
      </c>
      <c r="X10" s="10" t="s">
        <v>75</v>
      </c>
      <c r="Y10" s="10"/>
      <c r="Z10" s="10" t="s">
        <v>83</v>
      </c>
      <c r="AA10" s="10" t="s">
        <v>84</v>
      </c>
      <c r="AB10" s="10" t="s">
        <v>85</v>
      </c>
      <c r="AC10" s="18"/>
    </row>
    <row r="11" spans="1:29" ht="63" x14ac:dyDescent="0.25">
      <c r="A11" s="9">
        <f>SUBTOTAL(3,$B$2:B11)</f>
        <v>10</v>
      </c>
      <c r="B11" s="21" t="s">
        <v>86</v>
      </c>
      <c r="C11" s="22">
        <v>40086036697</v>
      </c>
      <c r="D11" s="23">
        <v>44596</v>
      </c>
      <c r="E11" s="24">
        <v>0</v>
      </c>
      <c r="F11" s="24"/>
      <c r="G11" s="24">
        <v>0</v>
      </c>
      <c r="H11" s="24">
        <v>0</v>
      </c>
      <c r="I11" s="23">
        <v>31757</v>
      </c>
      <c r="J11" s="25">
        <f t="shared" ca="1" si="0"/>
        <v>39</v>
      </c>
      <c r="K11" s="21" t="s">
        <v>39</v>
      </c>
      <c r="L11" s="21"/>
      <c r="M11" s="21" t="s">
        <v>87</v>
      </c>
      <c r="N11" s="21" t="s">
        <v>87</v>
      </c>
      <c r="O11" s="23">
        <v>45706</v>
      </c>
      <c r="P11" s="23">
        <v>46253</v>
      </c>
      <c r="Q11" s="24">
        <v>8</v>
      </c>
      <c r="R11" s="24"/>
      <c r="S11" s="25" t="s">
        <v>33</v>
      </c>
      <c r="T11" s="25" t="e">
        <f>DATEDIF(O11,$J$1,"m")</f>
        <v>#VALUE!</v>
      </c>
      <c r="U11" s="24" t="e">
        <f t="shared" ref="U11:U30" si="3">DATEDIF(O11,$J$1,"md")</f>
        <v>#VALUE!</v>
      </c>
      <c r="V11" s="21" t="s">
        <v>88</v>
      </c>
      <c r="W11" s="24">
        <v>19</v>
      </c>
      <c r="X11" s="21" t="s">
        <v>43</v>
      </c>
      <c r="Y11" s="21" t="s">
        <v>89</v>
      </c>
      <c r="Z11" s="21" t="s">
        <v>90</v>
      </c>
      <c r="AA11" s="21" t="s">
        <v>36</v>
      </c>
      <c r="AB11" s="21" t="s">
        <v>45</v>
      </c>
      <c r="AC11" s="26"/>
    </row>
    <row r="12" spans="1:29" ht="47.25" x14ac:dyDescent="0.25">
      <c r="A12" s="9">
        <f>SUBTOTAL(3,$B$2:B12)</f>
        <v>11</v>
      </c>
      <c r="B12" s="16" t="s">
        <v>91</v>
      </c>
      <c r="C12" s="29">
        <v>40088017546</v>
      </c>
      <c r="D12" s="19">
        <v>45589</v>
      </c>
      <c r="E12" s="15" t="s">
        <v>92</v>
      </c>
      <c r="F12" s="15"/>
      <c r="G12" s="15">
        <v>0</v>
      </c>
      <c r="H12" s="15">
        <v>0</v>
      </c>
      <c r="I12" s="19">
        <v>32448</v>
      </c>
      <c r="J12" s="15">
        <f t="shared" ca="1" si="0"/>
        <v>37</v>
      </c>
      <c r="K12" s="16" t="s">
        <v>39</v>
      </c>
      <c r="L12" s="16"/>
      <c r="M12" s="16" t="s">
        <v>93</v>
      </c>
      <c r="N12" s="16" t="s">
        <v>94</v>
      </c>
      <c r="O12" s="31">
        <v>45903</v>
      </c>
      <c r="P12" s="19">
        <f>EDATE(O12,W12)</f>
        <v>46510</v>
      </c>
      <c r="Q12" s="15"/>
      <c r="R12" s="15">
        <v>5</v>
      </c>
      <c r="S12" s="15" t="s">
        <v>33</v>
      </c>
      <c r="T12" s="15" t="e">
        <f>DATEDIF(O12,$J$1,"m")</f>
        <v>#VALUE!</v>
      </c>
      <c r="U12" s="15" t="e">
        <f t="shared" si="3"/>
        <v>#VALUE!</v>
      </c>
      <c r="V12" s="16" t="s">
        <v>95</v>
      </c>
      <c r="W12" s="15">
        <v>20</v>
      </c>
      <c r="X12" s="10" t="s">
        <v>43</v>
      </c>
      <c r="Y12" s="10"/>
      <c r="Z12" s="10" t="s">
        <v>96</v>
      </c>
      <c r="AA12" s="10" t="s">
        <v>36</v>
      </c>
      <c r="AB12" s="10" t="s">
        <v>85</v>
      </c>
      <c r="AC12" s="18"/>
    </row>
    <row r="13" spans="1:29" ht="47.25" x14ac:dyDescent="0.25">
      <c r="A13" s="9">
        <f>SUBTOTAL(3,$B$2:B13)</f>
        <v>12</v>
      </c>
      <c r="B13" s="10" t="s">
        <v>97</v>
      </c>
      <c r="C13" s="11">
        <v>40099006575</v>
      </c>
      <c r="D13" s="12"/>
      <c r="E13" s="13">
        <v>0</v>
      </c>
      <c r="F13" s="13"/>
      <c r="G13" s="13">
        <v>0</v>
      </c>
      <c r="H13" s="13">
        <v>0</v>
      </c>
      <c r="I13" s="14">
        <v>36256</v>
      </c>
      <c r="J13" s="15">
        <f t="shared" ca="1" si="0"/>
        <v>27</v>
      </c>
      <c r="K13" s="10" t="s">
        <v>39</v>
      </c>
      <c r="L13" s="10"/>
      <c r="M13" s="10" t="s">
        <v>98</v>
      </c>
      <c r="N13" s="10" t="s">
        <v>98</v>
      </c>
      <c r="O13" s="12">
        <v>46014</v>
      </c>
      <c r="P13" s="14">
        <f>EDATE(O13,W13)</f>
        <v>46561</v>
      </c>
      <c r="Q13" s="17"/>
      <c r="R13" s="17">
        <v>6</v>
      </c>
      <c r="S13" s="15" t="s">
        <v>33</v>
      </c>
      <c r="T13" s="15" t="e">
        <f>DATEDIF(O13,$J$1,"m")</f>
        <v>#VALUE!</v>
      </c>
      <c r="U13" s="13" t="e">
        <f t="shared" si="3"/>
        <v>#VALUE!</v>
      </c>
      <c r="V13" s="10" t="s">
        <v>99</v>
      </c>
      <c r="W13" s="17">
        <v>18</v>
      </c>
      <c r="X13" s="10" t="s">
        <v>43</v>
      </c>
      <c r="Y13" s="10"/>
      <c r="Z13" s="10" t="s">
        <v>100</v>
      </c>
      <c r="AA13" s="10" t="s">
        <v>36</v>
      </c>
      <c r="AB13" s="10" t="s">
        <v>101</v>
      </c>
      <c r="AC13" s="18"/>
    </row>
    <row r="14" spans="1:29" ht="47.25" x14ac:dyDescent="0.25">
      <c r="A14" s="9">
        <f>SUBTOTAL(3,$B$2:B14)</f>
        <v>13</v>
      </c>
      <c r="B14" s="10" t="s">
        <v>102</v>
      </c>
      <c r="C14" s="11">
        <v>40089030145</v>
      </c>
      <c r="D14" s="12"/>
      <c r="E14" s="13">
        <v>0</v>
      </c>
      <c r="F14" s="13"/>
      <c r="G14" s="13">
        <v>0</v>
      </c>
      <c r="H14" s="13">
        <v>0</v>
      </c>
      <c r="I14" s="14">
        <v>32715</v>
      </c>
      <c r="J14" s="15">
        <f t="shared" ca="1" si="0"/>
        <v>36</v>
      </c>
      <c r="K14" s="10" t="s">
        <v>30</v>
      </c>
      <c r="L14" s="10"/>
      <c r="M14" s="16" t="s">
        <v>31</v>
      </c>
      <c r="N14" s="16" t="s">
        <v>32</v>
      </c>
      <c r="O14" s="14">
        <v>46001</v>
      </c>
      <c r="P14" s="14">
        <f>EDATE(O14,W14)</f>
        <v>46548</v>
      </c>
      <c r="Q14" s="17"/>
      <c r="R14" s="17">
        <v>6</v>
      </c>
      <c r="S14" s="15" t="s">
        <v>33</v>
      </c>
      <c r="T14" s="15" t="e">
        <f>DATEDIF(O14,$J$1,"m")</f>
        <v>#VALUE!</v>
      </c>
      <c r="U14" s="17" t="e">
        <f t="shared" si="3"/>
        <v>#VALUE!</v>
      </c>
      <c r="V14" s="14" t="s">
        <v>103</v>
      </c>
      <c r="W14" s="15">
        <v>18</v>
      </c>
      <c r="X14" s="10" t="s">
        <v>104</v>
      </c>
      <c r="Y14" s="10"/>
      <c r="Z14" s="10"/>
      <c r="AA14" s="10" t="s">
        <v>36</v>
      </c>
      <c r="AB14" s="10" t="s">
        <v>37</v>
      </c>
      <c r="AC14" s="18"/>
    </row>
    <row r="15" spans="1:29" ht="31.5" x14ac:dyDescent="0.25">
      <c r="A15" s="9">
        <f>SUBTOTAL(3,$B$2:B15)</f>
        <v>14</v>
      </c>
      <c r="B15" s="16" t="s">
        <v>105</v>
      </c>
      <c r="C15" s="29">
        <v>40097020313</v>
      </c>
      <c r="D15" s="19"/>
      <c r="E15" s="15" t="s">
        <v>106</v>
      </c>
      <c r="F15" s="15"/>
      <c r="G15" s="15">
        <v>1</v>
      </c>
      <c r="H15" s="15">
        <v>0</v>
      </c>
      <c r="I15" s="19">
        <v>35560</v>
      </c>
      <c r="J15" s="15">
        <f t="shared" ca="1" si="0"/>
        <v>29</v>
      </c>
      <c r="K15" s="16" t="s">
        <v>107</v>
      </c>
      <c r="L15" s="16"/>
      <c r="M15" s="16" t="s">
        <v>108</v>
      </c>
      <c r="N15" s="16" t="s">
        <v>108</v>
      </c>
      <c r="O15" s="19">
        <v>45658</v>
      </c>
      <c r="P15" s="19">
        <f>EDATE(O15,W15)</f>
        <v>46327</v>
      </c>
      <c r="Q15" s="15">
        <v>11</v>
      </c>
      <c r="R15" s="15"/>
      <c r="S15" s="15" t="s">
        <v>33</v>
      </c>
      <c r="T15" s="15" t="e">
        <f>DATEDIF(O15,$J$1,"m")</f>
        <v>#VALUE!</v>
      </c>
      <c r="U15" s="15" t="e">
        <f t="shared" si="3"/>
        <v>#VALUE!</v>
      </c>
      <c r="V15" s="16" t="s">
        <v>109</v>
      </c>
      <c r="W15" s="15">
        <v>22</v>
      </c>
      <c r="X15" s="10" t="s">
        <v>75</v>
      </c>
      <c r="Y15" s="10"/>
      <c r="Z15" s="10" t="s">
        <v>110</v>
      </c>
      <c r="AA15" s="10" t="s">
        <v>36</v>
      </c>
      <c r="AB15" s="10" t="s">
        <v>111</v>
      </c>
      <c r="AC15" s="18"/>
    </row>
    <row r="16" spans="1:29" ht="63" x14ac:dyDescent="0.25">
      <c r="A16" s="9">
        <f>SUBTOTAL(3,$B$2:B16)</f>
        <v>15</v>
      </c>
      <c r="B16" s="10" t="s">
        <v>112</v>
      </c>
      <c r="C16" s="27">
        <v>40098013322</v>
      </c>
      <c r="D16" s="14"/>
      <c r="E16" s="17">
        <v>0</v>
      </c>
      <c r="F16" s="17"/>
      <c r="G16" s="17">
        <v>0</v>
      </c>
      <c r="H16" s="17">
        <v>0</v>
      </c>
      <c r="I16" s="14">
        <v>35838</v>
      </c>
      <c r="J16" s="15">
        <f t="shared" ca="1" si="0"/>
        <v>28</v>
      </c>
      <c r="K16" s="10" t="s">
        <v>113</v>
      </c>
      <c r="L16" s="10"/>
      <c r="M16" s="10" t="s">
        <v>114</v>
      </c>
      <c r="N16" s="10" t="s">
        <v>115</v>
      </c>
      <c r="O16" s="14">
        <v>45648</v>
      </c>
      <c r="P16" s="14">
        <v>46257</v>
      </c>
      <c r="Q16" s="17">
        <v>8</v>
      </c>
      <c r="R16" s="17"/>
      <c r="S16" s="15" t="s">
        <v>33</v>
      </c>
      <c r="T16" s="15" t="e">
        <f t="shared" ref="T16:T30" si="4">DATEDIF(O16,$J$1,"m")</f>
        <v>#VALUE!</v>
      </c>
      <c r="U16" s="17" t="e">
        <f t="shared" si="3"/>
        <v>#VALUE!</v>
      </c>
      <c r="V16" s="36" t="s">
        <v>116</v>
      </c>
      <c r="W16" s="17">
        <v>21</v>
      </c>
      <c r="X16" s="10" t="s">
        <v>35</v>
      </c>
      <c r="Y16" s="10" t="s">
        <v>117</v>
      </c>
      <c r="Z16" s="10" t="s">
        <v>118</v>
      </c>
      <c r="AA16" s="10" t="s">
        <v>36</v>
      </c>
      <c r="AB16" s="10" t="s">
        <v>45</v>
      </c>
      <c r="AC16" s="18"/>
    </row>
    <row r="17" spans="1:29" ht="47.25" x14ac:dyDescent="0.25">
      <c r="A17" s="9">
        <f>SUBTOTAL(3,$B$2:B17)</f>
        <v>16</v>
      </c>
      <c r="B17" s="10" t="s">
        <v>119</v>
      </c>
      <c r="C17" s="27">
        <v>40095011122</v>
      </c>
      <c r="D17" s="14"/>
      <c r="E17" s="17" t="s">
        <v>120</v>
      </c>
      <c r="F17" s="17"/>
      <c r="G17" s="17">
        <v>0</v>
      </c>
      <c r="H17" s="17">
        <v>0</v>
      </c>
      <c r="I17" s="14">
        <v>34772</v>
      </c>
      <c r="J17" s="15">
        <f t="shared" ca="1" si="0"/>
        <v>31</v>
      </c>
      <c r="K17" s="10" t="s">
        <v>121</v>
      </c>
      <c r="L17" s="10"/>
      <c r="M17" s="10" t="s">
        <v>122</v>
      </c>
      <c r="N17" s="10"/>
      <c r="O17" s="31">
        <v>45775</v>
      </c>
      <c r="P17" s="14">
        <f t="shared" ref="P17:P25" si="5">EDATE(O17,W17)</f>
        <v>46354</v>
      </c>
      <c r="Q17" s="17">
        <v>11</v>
      </c>
      <c r="R17" s="17"/>
      <c r="S17" s="15" t="s">
        <v>33</v>
      </c>
      <c r="T17" s="15" t="e">
        <f t="shared" si="4"/>
        <v>#VALUE!</v>
      </c>
      <c r="U17" s="15" t="e">
        <f t="shared" si="3"/>
        <v>#VALUE!</v>
      </c>
      <c r="V17" s="37" t="s">
        <v>123</v>
      </c>
      <c r="W17" s="35">
        <v>19</v>
      </c>
      <c r="X17" s="10" t="s">
        <v>43</v>
      </c>
      <c r="Y17" s="10"/>
      <c r="Z17" s="10" t="s">
        <v>124</v>
      </c>
      <c r="AA17" s="10" t="s">
        <v>36</v>
      </c>
      <c r="AB17" s="10" t="s">
        <v>57</v>
      </c>
      <c r="AC17" s="18"/>
    </row>
    <row r="18" spans="1:29" ht="63" x14ac:dyDescent="0.25">
      <c r="A18" s="9">
        <f>SUBTOTAL(3,$B$2:B18)</f>
        <v>17</v>
      </c>
      <c r="B18" s="10" t="s">
        <v>125</v>
      </c>
      <c r="C18" s="27">
        <v>40089033574</v>
      </c>
      <c r="D18" s="14"/>
      <c r="E18" s="17">
        <v>0</v>
      </c>
      <c r="F18" s="17"/>
      <c r="G18" s="17">
        <v>0</v>
      </c>
      <c r="H18" s="17">
        <v>0</v>
      </c>
      <c r="I18" s="14">
        <v>32518</v>
      </c>
      <c r="J18" s="15">
        <f t="shared" ca="1" si="0"/>
        <v>37</v>
      </c>
      <c r="K18" s="10" t="s">
        <v>126</v>
      </c>
      <c r="L18" s="10"/>
      <c r="M18" s="10" t="s">
        <v>127</v>
      </c>
      <c r="N18" s="10"/>
      <c r="O18" s="14">
        <v>45678</v>
      </c>
      <c r="P18" s="14">
        <f t="shared" si="5"/>
        <v>46224</v>
      </c>
      <c r="Q18" s="17">
        <v>7</v>
      </c>
      <c r="R18" s="17"/>
      <c r="S18" s="15" t="s">
        <v>33</v>
      </c>
      <c r="T18" s="15" t="e">
        <f t="shared" si="4"/>
        <v>#VALUE!</v>
      </c>
      <c r="U18" s="17" t="e">
        <f t="shared" si="3"/>
        <v>#VALUE!</v>
      </c>
      <c r="V18" s="10" t="s">
        <v>128</v>
      </c>
      <c r="W18" s="17">
        <v>18</v>
      </c>
      <c r="X18" s="10" t="s">
        <v>43</v>
      </c>
      <c r="Y18" s="10"/>
      <c r="Z18" s="10" t="s">
        <v>129</v>
      </c>
      <c r="AA18" s="10" t="s">
        <v>36</v>
      </c>
      <c r="AB18" s="10" t="s">
        <v>130</v>
      </c>
      <c r="AC18" s="18"/>
    </row>
    <row r="19" spans="1:29" ht="63" x14ac:dyDescent="0.25">
      <c r="A19" s="9">
        <f>SUBTOTAL(3,$B$2:B19)</f>
        <v>18</v>
      </c>
      <c r="B19" s="38" t="s">
        <v>131</v>
      </c>
      <c r="C19" s="39">
        <v>40200020946</v>
      </c>
      <c r="D19" s="40"/>
      <c r="E19" s="41">
        <v>0</v>
      </c>
      <c r="F19" s="41"/>
      <c r="G19" s="41">
        <v>1</v>
      </c>
      <c r="H19" s="41">
        <v>0</v>
      </c>
      <c r="I19" s="40">
        <v>36663</v>
      </c>
      <c r="J19" s="42">
        <f t="shared" ca="1" si="0"/>
        <v>26</v>
      </c>
      <c r="K19" s="38" t="s">
        <v>113</v>
      </c>
      <c r="L19" s="38"/>
      <c r="M19" s="38" t="s">
        <v>132</v>
      </c>
      <c r="N19" s="38" t="s">
        <v>133</v>
      </c>
      <c r="O19" s="40">
        <v>45649</v>
      </c>
      <c r="P19" s="40">
        <f t="shared" si="5"/>
        <v>46379</v>
      </c>
      <c r="Q19" s="41">
        <v>12</v>
      </c>
      <c r="R19" s="41"/>
      <c r="S19" s="42" t="s">
        <v>33</v>
      </c>
      <c r="T19" s="42" t="e">
        <f t="shared" si="4"/>
        <v>#VALUE!</v>
      </c>
      <c r="U19" s="41" t="e">
        <f t="shared" si="3"/>
        <v>#VALUE!</v>
      </c>
      <c r="V19" s="38" t="s">
        <v>134</v>
      </c>
      <c r="W19" s="41">
        <v>24</v>
      </c>
      <c r="X19" s="38" t="s">
        <v>35</v>
      </c>
      <c r="Y19" s="38"/>
      <c r="Z19" s="38" t="s">
        <v>135</v>
      </c>
      <c r="AA19" s="38" t="s">
        <v>36</v>
      </c>
      <c r="AB19" s="38" t="s">
        <v>85</v>
      </c>
      <c r="AC19" s="43"/>
    </row>
    <row r="20" spans="1:29" ht="47.25" x14ac:dyDescent="0.25">
      <c r="A20" s="9">
        <f>SUBTOTAL(3,$B$2:B20)</f>
        <v>19</v>
      </c>
      <c r="B20" s="10" t="s">
        <v>136</v>
      </c>
      <c r="C20" s="27">
        <v>40097026208</v>
      </c>
      <c r="D20" s="14"/>
      <c r="E20" s="17">
        <v>0</v>
      </c>
      <c r="F20" s="17"/>
      <c r="G20" s="17">
        <v>0</v>
      </c>
      <c r="H20" s="17">
        <v>0</v>
      </c>
      <c r="I20" s="14">
        <v>35690</v>
      </c>
      <c r="J20" s="15">
        <f t="shared" ca="1" si="0"/>
        <v>28</v>
      </c>
      <c r="K20" s="10" t="s">
        <v>30</v>
      </c>
      <c r="L20" s="10"/>
      <c r="M20" s="10" t="s">
        <v>137</v>
      </c>
      <c r="N20" s="10" t="s">
        <v>138</v>
      </c>
      <c r="O20" s="19">
        <v>45993</v>
      </c>
      <c r="P20" s="14">
        <f t="shared" si="5"/>
        <v>46540</v>
      </c>
      <c r="Q20" s="17"/>
      <c r="R20" s="17">
        <v>6</v>
      </c>
      <c r="S20" s="15" t="s">
        <v>33</v>
      </c>
      <c r="T20" s="15" t="e">
        <f t="shared" si="4"/>
        <v>#VALUE!</v>
      </c>
      <c r="U20" s="15" t="e">
        <f t="shared" si="3"/>
        <v>#VALUE!</v>
      </c>
      <c r="V20" s="10" t="s">
        <v>139</v>
      </c>
      <c r="W20" s="17">
        <v>18</v>
      </c>
      <c r="X20" s="10" t="s">
        <v>35</v>
      </c>
      <c r="Y20" s="10"/>
      <c r="Z20" s="10"/>
      <c r="AA20" s="10" t="s">
        <v>36</v>
      </c>
      <c r="AB20" s="10" t="s">
        <v>37</v>
      </c>
      <c r="AC20" s="18"/>
    </row>
    <row r="21" spans="1:29" ht="31.5" x14ac:dyDescent="0.25">
      <c r="A21" s="9">
        <f>SUBTOTAL(3,$B$2:B21)</f>
        <v>20</v>
      </c>
      <c r="B21" s="16" t="s">
        <v>140</v>
      </c>
      <c r="C21" s="16" t="s">
        <v>141</v>
      </c>
      <c r="D21" s="19"/>
      <c r="E21" s="15">
        <v>0</v>
      </c>
      <c r="F21" s="15"/>
      <c r="G21" s="15">
        <v>0</v>
      </c>
      <c r="H21" s="15">
        <v>1</v>
      </c>
      <c r="I21" s="19">
        <v>30873</v>
      </c>
      <c r="J21" s="15">
        <f t="shared" ca="1" si="0"/>
        <v>42</v>
      </c>
      <c r="K21" s="16" t="s">
        <v>142</v>
      </c>
      <c r="L21" s="16"/>
      <c r="M21" s="16" t="s">
        <v>143</v>
      </c>
      <c r="N21" s="16" t="s">
        <v>143</v>
      </c>
      <c r="O21" s="31">
        <v>45665</v>
      </c>
      <c r="P21" s="19">
        <f t="shared" si="5"/>
        <v>46334</v>
      </c>
      <c r="Q21" s="15"/>
      <c r="R21" s="15">
        <v>6</v>
      </c>
      <c r="S21" s="15" t="s">
        <v>33</v>
      </c>
      <c r="T21" s="15" t="e">
        <f t="shared" si="4"/>
        <v>#VALUE!</v>
      </c>
      <c r="U21" s="15" t="e">
        <f t="shared" si="3"/>
        <v>#VALUE!</v>
      </c>
      <c r="V21" s="16" t="s">
        <v>144</v>
      </c>
      <c r="W21" s="15">
        <v>22</v>
      </c>
      <c r="X21" s="10" t="s">
        <v>75</v>
      </c>
      <c r="Y21" s="10"/>
      <c r="Z21" s="10" t="s">
        <v>145</v>
      </c>
      <c r="AA21" s="10" t="s">
        <v>76</v>
      </c>
      <c r="AB21" s="10" t="s">
        <v>146</v>
      </c>
      <c r="AC21" s="18"/>
    </row>
    <row r="22" spans="1:29" ht="47.25" x14ac:dyDescent="0.25">
      <c r="A22" s="9">
        <f>SUBTOTAL(3,$B$2:B22)</f>
        <v>21</v>
      </c>
      <c r="B22" s="16" t="s">
        <v>147</v>
      </c>
      <c r="C22" s="27">
        <v>40099017649</v>
      </c>
      <c r="D22" s="19"/>
      <c r="E22" s="15" t="s">
        <v>148</v>
      </c>
      <c r="F22" s="15"/>
      <c r="G22" s="15">
        <v>0</v>
      </c>
      <c r="H22" s="15">
        <v>0</v>
      </c>
      <c r="I22" s="19">
        <v>36183</v>
      </c>
      <c r="J22" s="15">
        <f t="shared" ca="1" si="0"/>
        <v>27</v>
      </c>
      <c r="K22" s="16" t="s">
        <v>67</v>
      </c>
      <c r="L22" s="16"/>
      <c r="M22" s="16" t="s">
        <v>68</v>
      </c>
      <c r="N22" s="44" t="s">
        <v>149</v>
      </c>
      <c r="O22" s="33">
        <v>45774</v>
      </c>
      <c r="P22" s="19">
        <f t="shared" si="5"/>
        <v>46322</v>
      </c>
      <c r="Q22" s="15">
        <v>10</v>
      </c>
      <c r="R22" s="15"/>
      <c r="S22" s="15" t="s">
        <v>33</v>
      </c>
      <c r="T22" s="15" t="e">
        <f t="shared" si="4"/>
        <v>#VALUE!</v>
      </c>
      <c r="U22" s="17" t="e">
        <f t="shared" si="3"/>
        <v>#VALUE!</v>
      </c>
      <c r="V22" s="32" t="s">
        <v>150</v>
      </c>
      <c r="W22" s="13">
        <v>18</v>
      </c>
      <c r="X22" s="10" t="s">
        <v>43</v>
      </c>
      <c r="Y22" s="10"/>
      <c r="Z22" s="10"/>
      <c r="AA22" s="10" t="s">
        <v>36</v>
      </c>
      <c r="AB22" s="10"/>
      <c r="AC22" s="18"/>
    </row>
    <row r="23" spans="1:29" ht="47.25" x14ac:dyDescent="0.25">
      <c r="A23" s="9">
        <f>SUBTOTAL(3,$B$2:B23)</f>
        <v>22</v>
      </c>
      <c r="B23" s="10" t="s">
        <v>151</v>
      </c>
      <c r="C23" s="27">
        <v>40081022155</v>
      </c>
      <c r="D23" s="14">
        <v>44819</v>
      </c>
      <c r="E23" s="17" t="s">
        <v>152</v>
      </c>
      <c r="F23" s="17"/>
      <c r="G23" s="17">
        <v>0</v>
      </c>
      <c r="H23" s="17">
        <v>0</v>
      </c>
      <c r="I23" s="14">
        <v>29861</v>
      </c>
      <c r="J23" s="15">
        <f t="shared" ca="1" si="0"/>
        <v>44</v>
      </c>
      <c r="K23" s="10" t="s">
        <v>153</v>
      </c>
      <c r="L23" s="10"/>
      <c r="M23" s="10" t="s">
        <v>154</v>
      </c>
      <c r="N23" s="45" t="s">
        <v>155</v>
      </c>
      <c r="O23" s="33">
        <v>45909</v>
      </c>
      <c r="P23" s="14">
        <f t="shared" si="5"/>
        <v>46516</v>
      </c>
      <c r="Q23" s="17"/>
      <c r="R23" s="17">
        <v>5</v>
      </c>
      <c r="S23" s="15" t="s">
        <v>33</v>
      </c>
      <c r="T23" s="15" t="e">
        <f t="shared" si="4"/>
        <v>#VALUE!</v>
      </c>
      <c r="U23" s="17" t="e">
        <f t="shared" si="3"/>
        <v>#VALUE!</v>
      </c>
      <c r="V23" s="10" t="s">
        <v>156</v>
      </c>
      <c r="W23" s="17">
        <v>20</v>
      </c>
      <c r="X23" s="10" t="s">
        <v>43</v>
      </c>
      <c r="Y23" s="10"/>
      <c r="Z23" s="10"/>
      <c r="AA23" s="10" t="s">
        <v>36</v>
      </c>
      <c r="AB23" s="10"/>
      <c r="AC23" s="18"/>
    </row>
    <row r="24" spans="1:29" ht="47.25" x14ac:dyDescent="0.25">
      <c r="A24" s="9">
        <f>SUBTOTAL(3,$B$2:B24)</f>
        <v>23</v>
      </c>
      <c r="B24" s="10" t="s">
        <v>157</v>
      </c>
      <c r="C24" s="11">
        <v>40202004644</v>
      </c>
      <c r="D24" s="12"/>
      <c r="E24" s="13">
        <v>0</v>
      </c>
      <c r="F24" s="13"/>
      <c r="G24" s="13">
        <v>0</v>
      </c>
      <c r="H24" s="13">
        <v>0</v>
      </c>
      <c r="I24" s="14">
        <v>37537</v>
      </c>
      <c r="J24" s="15">
        <f t="shared" ca="1" si="0"/>
        <v>23</v>
      </c>
      <c r="K24" s="10" t="s">
        <v>30</v>
      </c>
      <c r="L24" s="10"/>
      <c r="M24" s="10" t="s">
        <v>158</v>
      </c>
      <c r="N24" s="45" t="s">
        <v>155</v>
      </c>
      <c r="O24" s="14">
        <v>46001</v>
      </c>
      <c r="P24" s="14">
        <f t="shared" si="5"/>
        <v>46548</v>
      </c>
      <c r="Q24" s="17"/>
      <c r="R24" s="17">
        <v>6</v>
      </c>
      <c r="S24" s="15" t="s">
        <v>33</v>
      </c>
      <c r="T24" s="15" t="e">
        <f t="shared" si="4"/>
        <v>#VALUE!</v>
      </c>
      <c r="U24" s="17" t="e">
        <f t="shared" si="3"/>
        <v>#VALUE!</v>
      </c>
      <c r="V24" s="16" t="s">
        <v>159</v>
      </c>
      <c r="W24" s="17">
        <v>18</v>
      </c>
      <c r="X24" s="10" t="s">
        <v>35</v>
      </c>
      <c r="Y24" s="10"/>
      <c r="Z24" s="10"/>
      <c r="AA24" s="10" t="s">
        <v>36</v>
      </c>
      <c r="AB24" s="10" t="s">
        <v>37</v>
      </c>
      <c r="AC24" s="18"/>
    </row>
    <row r="25" spans="1:29" ht="47.25" x14ac:dyDescent="0.25">
      <c r="A25" s="9">
        <f>SUBTOTAL(3,$B$2:B25)</f>
        <v>24</v>
      </c>
      <c r="B25" s="16" t="s">
        <v>160</v>
      </c>
      <c r="C25" s="29">
        <v>40075022388</v>
      </c>
      <c r="D25" s="19"/>
      <c r="E25" s="15">
        <v>0</v>
      </c>
      <c r="F25" s="15"/>
      <c r="G25" s="15">
        <v>0</v>
      </c>
      <c r="H25" s="15">
        <v>0</v>
      </c>
      <c r="I25" s="19">
        <v>27395</v>
      </c>
      <c r="J25" s="15">
        <f t="shared" ca="1" si="0"/>
        <v>51</v>
      </c>
      <c r="K25" s="10" t="s">
        <v>30</v>
      </c>
      <c r="L25" s="10"/>
      <c r="M25" s="10" t="s">
        <v>161</v>
      </c>
      <c r="N25" s="10" t="s">
        <v>162</v>
      </c>
      <c r="O25" s="19">
        <v>45993</v>
      </c>
      <c r="P25" s="14">
        <f t="shared" si="5"/>
        <v>46540</v>
      </c>
      <c r="Q25" s="17"/>
      <c r="R25" s="17">
        <v>6</v>
      </c>
      <c r="S25" s="15" t="s">
        <v>33</v>
      </c>
      <c r="T25" s="15" t="e">
        <f t="shared" si="4"/>
        <v>#VALUE!</v>
      </c>
      <c r="U25" s="15" t="e">
        <f t="shared" si="3"/>
        <v>#VALUE!</v>
      </c>
      <c r="V25" s="16" t="s">
        <v>163</v>
      </c>
      <c r="W25" s="15">
        <v>18</v>
      </c>
      <c r="X25" s="10" t="s">
        <v>35</v>
      </c>
      <c r="Y25" s="10"/>
      <c r="Z25" s="10"/>
      <c r="AA25" s="10" t="s">
        <v>36</v>
      </c>
      <c r="AB25" s="10" t="s">
        <v>164</v>
      </c>
      <c r="AC25" s="18"/>
    </row>
    <row r="26" spans="1:29" ht="47.25" x14ac:dyDescent="0.25">
      <c r="A26" s="9">
        <f>SUBTOTAL(3,$B$2:B26)</f>
        <v>25</v>
      </c>
      <c r="B26" s="10" t="s">
        <v>165</v>
      </c>
      <c r="C26" s="27">
        <v>40085015934</v>
      </c>
      <c r="D26" s="14"/>
      <c r="E26" s="17">
        <v>0</v>
      </c>
      <c r="F26" s="17"/>
      <c r="G26" s="17">
        <v>0</v>
      </c>
      <c r="H26" s="17">
        <v>0</v>
      </c>
      <c r="I26" s="14">
        <v>31387</v>
      </c>
      <c r="J26" s="15">
        <f t="shared" ca="1" si="0"/>
        <v>40</v>
      </c>
      <c r="K26" s="10" t="s">
        <v>67</v>
      </c>
      <c r="L26" s="10"/>
      <c r="M26" s="10" t="s">
        <v>166</v>
      </c>
      <c r="N26" s="10"/>
      <c r="O26" s="33">
        <v>45774</v>
      </c>
      <c r="P26" s="14">
        <f>EDATE(O26,W26)</f>
        <v>46292</v>
      </c>
      <c r="Q26" s="17">
        <v>9</v>
      </c>
      <c r="R26" s="17"/>
      <c r="S26" s="15" t="s">
        <v>33</v>
      </c>
      <c r="T26" s="15" t="e">
        <f t="shared" si="4"/>
        <v>#VALUE!</v>
      </c>
      <c r="U26" s="17" t="e">
        <f t="shared" si="3"/>
        <v>#VALUE!</v>
      </c>
      <c r="V26" s="32" t="s">
        <v>167</v>
      </c>
      <c r="W26" s="13">
        <v>17</v>
      </c>
      <c r="X26" s="10" t="s">
        <v>43</v>
      </c>
      <c r="Y26" s="10"/>
      <c r="Z26" s="10"/>
      <c r="AA26" s="10" t="s">
        <v>36</v>
      </c>
      <c r="AB26" s="10"/>
      <c r="AC26" s="18"/>
    </row>
    <row r="27" spans="1:29" ht="47.25" x14ac:dyDescent="0.25">
      <c r="A27" s="9">
        <f>SUBTOTAL(3,$B$2:B27)</f>
        <v>26</v>
      </c>
      <c r="B27" s="38" t="s">
        <v>168</v>
      </c>
      <c r="C27" s="39">
        <v>40077002424</v>
      </c>
      <c r="D27" s="40"/>
      <c r="E27" s="41">
        <v>0</v>
      </c>
      <c r="F27" s="41"/>
      <c r="G27" s="41">
        <v>0</v>
      </c>
      <c r="H27" s="41">
        <v>0</v>
      </c>
      <c r="I27" s="40">
        <v>28253</v>
      </c>
      <c r="J27" s="42">
        <f t="shared" ca="1" si="0"/>
        <v>49</v>
      </c>
      <c r="K27" s="38" t="s">
        <v>113</v>
      </c>
      <c r="L27" s="38"/>
      <c r="M27" s="38" t="s">
        <v>169</v>
      </c>
      <c r="N27" s="38" t="s">
        <v>170</v>
      </c>
      <c r="O27" s="40">
        <v>45586</v>
      </c>
      <c r="P27" s="40">
        <f>EDATE(O27,W27)</f>
        <v>46255</v>
      </c>
      <c r="Q27" s="41">
        <v>8</v>
      </c>
      <c r="R27" s="41"/>
      <c r="S27" s="42" t="s">
        <v>33</v>
      </c>
      <c r="T27" s="42" t="e">
        <f t="shared" si="4"/>
        <v>#VALUE!</v>
      </c>
      <c r="U27" s="41" t="e">
        <f t="shared" si="3"/>
        <v>#VALUE!</v>
      </c>
      <c r="V27" s="38" t="s">
        <v>171</v>
      </c>
      <c r="W27" s="41">
        <v>22</v>
      </c>
      <c r="X27" s="38" t="s">
        <v>35</v>
      </c>
      <c r="Y27" s="38"/>
      <c r="Z27" s="38" t="s">
        <v>172</v>
      </c>
      <c r="AA27" s="38" t="s">
        <v>84</v>
      </c>
      <c r="AB27" s="38" t="s">
        <v>45</v>
      </c>
      <c r="AC27" s="43"/>
    </row>
    <row r="28" spans="1:29" ht="47.25" x14ac:dyDescent="0.25">
      <c r="A28" s="9">
        <f>SUBTOTAL(3,$B$2:B28)</f>
        <v>27</v>
      </c>
      <c r="B28" s="38" t="s">
        <v>173</v>
      </c>
      <c r="C28" s="39">
        <v>40091015895</v>
      </c>
      <c r="D28" s="40"/>
      <c r="E28" s="41">
        <v>0</v>
      </c>
      <c r="F28" s="41"/>
      <c r="G28" s="41">
        <v>1</v>
      </c>
      <c r="H28" s="41">
        <v>0</v>
      </c>
      <c r="I28" s="40">
        <v>33497</v>
      </c>
      <c r="J28" s="42">
        <f t="shared" ca="1" si="0"/>
        <v>34</v>
      </c>
      <c r="K28" s="38" t="s">
        <v>113</v>
      </c>
      <c r="L28" s="38"/>
      <c r="M28" s="38" t="s">
        <v>169</v>
      </c>
      <c r="N28" s="38" t="s">
        <v>170</v>
      </c>
      <c r="O28" s="40">
        <v>45586</v>
      </c>
      <c r="P28" s="40">
        <f>EDATE(O28,W28)</f>
        <v>46224</v>
      </c>
      <c r="Q28" s="41">
        <v>7</v>
      </c>
      <c r="R28" s="41"/>
      <c r="S28" s="42" t="s">
        <v>33</v>
      </c>
      <c r="T28" s="42" t="e">
        <f t="shared" si="4"/>
        <v>#VALUE!</v>
      </c>
      <c r="U28" s="41" t="e">
        <f t="shared" si="3"/>
        <v>#VALUE!</v>
      </c>
      <c r="V28" s="38" t="s">
        <v>174</v>
      </c>
      <c r="W28" s="41">
        <v>21</v>
      </c>
      <c r="X28" s="38" t="s">
        <v>35</v>
      </c>
      <c r="Y28" s="38"/>
      <c r="Z28" s="38" t="s">
        <v>175</v>
      </c>
      <c r="AA28" s="38" t="s">
        <v>176</v>
      </c>
      <c r="AB28" s="38" t="s">
        <v>177</v>
      </c>
      <c r="AC28" s="43"/>
    </row>
    <row r="29" spans="1:29" ht="63" x14ac:dyDescent="0.25">
      <c r="A29" s="9">
        <f>SUBTOTAL(3,$B$2:B29)</f>
        <v>28</v>
      </c>
      <c r="B29" s="10" t="s">
        <v>178</v>
      </c>
      <c r="C29" s="46">
        <v>40092015657</v>
      </c>
      <c r="D29" s="47"/>
      <c r="E29" s="48" t="s">
        <v>179</v>
      </c>
      <c r="F29" s="48"/>
      <c r="G29" s="48">
        <v>0</v>
      </c>
      <c r="H29" s="48">
        <v>1</v>
      </c>
      <c r="I29" s="47">
        <v>33796</v>
      </c>
      <c r="J29" s="15">
        <f t="shared" ca="1" si="0"/>
        <v>33</v>
      </c>
      <c r="K29" s="7" t="s">
        <v>180</v>
      </c>
      <c r="L29" s="7"/>
      <c r="M29" s="7" t="s">
        <v>181</v>
      </c>
      <c r="N29" s="7" t="s">
        <v>182</v>
      </c>
      <c r="O29" s="49">
        <v>45735</v>
      </c>
      <c r="P29" s="47">
        <f>EDATE(O29,W29)</f>
        <v>46345</v>
      </c>
      <c r="Q29" s="48">
        <v>10</v>
      </c>
      <c r="R29" s="48"/>
      <c r="S29" s="15" t="s">
        <v>33</v>
      </c>
      <c r="T29" s="15" t="e">
        <f t="shared" si="4"/>
        <v>#VALUE!</v>
      </c>
      <c r="U29" s="48" t="e">
        <f t="shared" si="3"/>
        <v>#VALUE!</v>
      </c>
      <c r="V29" s="7" t="s">
        <v>183</v>
      </c>
      <c r="W29" s="48">
        <v>20</v>
      </c>
      <c r="X29" s="10" t="s">
        <v>43</v>
      </c>
      <c r="Y29" s="7"/>
      <c r="Z29" s="7"/>
      <c r="AA29" s="7" t="s">
        <v>36</v>
      </c>
      <c r="AB29" s="7"/>
      <c r="AC29" s="8"/>
    </row>
    <row r="30" spans="1:29" ht="47.25" x14ac:dyDescent="0.25">
      <c r="A30" s="9">
        <f>SUBTOTAL(3,$B$2:B30)</f>
        <v>29</v>
      </c>
      <c r="B30" s="10" t="s">
        <v>184</v>
      </c>
      <c r="C30" s="27">
        <v>40086033292</v>
      </c>
      <c r="D30" s="14"/>
      <c r="E30" s="17"/>
      <c r="F30" s="17"/>
      <c r="G30" s="17">
        <v>0</v>
      </c>
      <c r="H30" s="17">
        <v>0</v>
      </c>
      <c r="I30" s="14">
        <v>31601</v>
      </c>
      <c r="J30" s="15">
        <f t="shared" ca="1" si="0"/>
        <v>40</v>
      </c>
      <c r="K30" s="10" t="s">
        <v>185</v>
      </c>
      <c r="L30" s="10"/>
      <c r="M30" s="10" t="s">
        <v>186</v>
      </c>
      <c r="N30" s="10" t="s">
        <v>186</v>
      </c>
      <c r="O30" s="33">
        <v>45761</v>
      </c>
      <c r="P30" s="14">
        <f>EDATE(O30,W30)</f>
        <v>46248</v>
      </c>
      <c r="Q30" s="17">
        <v>8</v>
      </c>
      <c r="R30" s="17"/>
      <c r="S30" s="15" t="s">
        <v>33</v>
      </c>
      <c r="T30" s="15" t="e">
        <f t="shared" si="4"/>
        <v>#VALUE!</v>
      </c>
      <c r="U30" s="17" t="e">
        <f t="shared" si="3"/>
        <v>#VALUE!</v>
      </c>
      <c r="V30" s="32" t="s">
        <v>187</v>
      </c>
      <c r="W30" s="13">
        <v>16</v>
      </c>
      <c r="X30" s="10" t="s">
        <v>43</v>
      </c>
      <c r="Y30" s="10"/>
      <c r="Z30" s="10"/>
      <c r="AA30" s="10" t="s">
        <v>36</v>
      </c>
      <c r="AB30" s="10"/>
      <c r="AC30" s="18"/>
    </row>
    <row r="31" spans="1:29" ht="63" x14ac:dyDescent="0.25">
      <c r="A31" s="9">
        <f>SUBTOTAL(3,$B$2:B31)</f>
        <v>30</v>
      </c>
      <c r="B31" s="10" t="s">
        <v>188</v>
      </c>
      <c r="C31" s="27">
        <v>40091009985</v>
      </c>
      <c r="D31" s="14"/>
      <c r="E31" s="17">
        <v>0</v>
      </c>
      <c r="F31" s="17"/>
      <c r="G31" s="17">
        <v>0</v>
      </c>
      <c r="H31" s="17">
        <v>0</v>
      </c>
      <c r="I31" s="14">
        <v>33581</v>
      </c>
      <c r="J31" s="15">
        <f t="shared" ca="1" si="0"/>
        <v>34</v>
      </c>
      <c r="K31" s="10" t="s">
        <v>180</v>
      </c>
      <c r="L31" s="10"/>
      <c r="M31" s="10" t="s">
        <v>189</v>
      </c>
      <c r="N31" s="10" t="s">
        <v>186</v>
      </c>
      <c r="O31" s="14" t="s">
        <v>190</v>
      </c>
      <c r="P31" s="14">
        <v>46224</v>
      </c>
      <c r="Q31" s="17">
        <v>7</v>
      </c>
      <c r="R31" s="17"/>
      <c r="S31" s="15" t="s">
        <v>33</v>
      </c>
      <c r="T31" s="15"/>
      <c r="U31" s="17"/>
      <c r="V31" s="10" t="s">
        <v>191</v>
      </c>
      <c r="W31" s="17">
        <v>18</v>
      </c>
      <c r="X31" s="10" t="s">
        <v>43</v>
      </c>
      <c r="Y31" s="10"/>
      <c r="Z31" s="10" t="s">
        <v>192</v>
      </c>
      <c r="AA31" s="10" t="s">
        <v>36</v>
      </c>
      <c r="AB31" s="10" t="s">
        <v>45</v>
      </c>
      <c r="AC31" s="18"/>
    </row>
    <row r="32" spans="1:29" ht="63" x14ac:dyDescent="0.25">
      <c r="A32" s="9">
        <f>SUBTOTAL(3,$B$2:B32)</f>
        <v>31</v>
      </c>
      <c r="B32" s="10" t="s">
        <v>193</v>
      </c>
      <c r="C32" s="27">
        <v>40094037070</v>
      </c>
      <c r="D32" s="14"/>
      <c r="E32" s="17">
        <v>0</v>
      </c>
      <c r="F32" s="17"/>
      <c r="G32" s="17">
        <v>0</v>
      </c>
      <c r="H32" s="17">
        <v>0</v>
      </c>
      <c r="I32" s="14">
        <v>34404</v>
      </c>
      <c r="J32" s="15">
        <f t="shared" ca="1" si="0"/>
        <v>32</v>
      </c>
      <c r="K32" s="10" t="s">
        <v>113</v>
      </c>
      <c r="L32" s="10"/>
      <c r="M32" s="10" t="s">
        <v>194</v>
      </c>
      <c r="N32" s="10" t="s">
        <v>115</v>
      </c>
      <c r="O32" s="14">
        <v>45614</v>
      </c>
      <c r="P32" s="14">
        <v>46222</v>
      </c>
      <c r="Q32" s="17">
        <v>7</v>
      </c>
      <c r="R32" s="17"/>
      <c r="S32" s="15" t="s">
        <v>33</v>
      </c>
      <c r="T32" s="15" t="e">
        <f t="shared" ref="T32:T37" si="6">DATEDIF(O32,$J$1,"m")</f>
        <v>#VALUE!</v>
      </c>
      <c r="U32" s="17" t="e">
        <f t="shared" ref="U32:U72" si="7">DATEDIF(O32,$J$1,"md")</f>
        <v>#VALUE!</v>
      </c>
      <c r="V32" s="10" t="s">
        <v>195</v>
      </c>
      <c r="W32" s="17">
        <v>21</v>
      </c>
      <c r="X32" s="10" t="s">
        <v>35</v>
      </c>
      <c r="Y32" s="10" t="s">
        <v>196</v>
      </c>
      <c r="Z32" s="10" t="s">
        <v>197</v>
      </c>
      <c r="AA32" s="10" t="s">
        <v>36</v>
      </c>
      <c r="AB32" s="10" t="s">
        <v>45</v>
      </c>
      <c r="AC32" s="18"/>
    </row>
    <row r="33" spans="1:29" ht="47.25" x14ac:dyDescent="0.25">
      <c r="A33" s="9">
        <f>SUBTOTAL(3,$B$2:B33)</f>
        <v>32</v>
      </c>
      <c r="B33" s="10" t="s">
        <v>198</v>
      </c>
      <c r="C33" s="29" t="s">
        <v>199</v>
      </c>
      <c r="D33" s="14"/>
      <c r="E33" s="17"/>
      <c r="F33" s="17"/>
      <c r="G33" s="17">
        <v>0</v>
      </c>
      <c r="H33" s="17">
        <v>0</v>
      </c>
      <c r="I33" s="14">
        <v>31868</v>
      </c>
      <c r="J33" s="15">
        <f t="shared" ca="1" si="0"/>
        <v>39</v>
      </c>
      <c r="K33" s="10" t="s">
        <v>107</v>
      </c>
      <c r="L33" s="10"/>
      <c r="M33" s="10" t="s">
        <v>200</v>
      </c>
      <c r="N33" s="10" t="s">
        <v>201</v>
      </c>
      <c r="O33" s="10"/>
      <c r="P33" s="14">
        <v>46391</v>
      </c>
      <c r="Q33" s="17">
        <v>12</v>
      </c>
      <c r="R33" s="17"/>
      <c r="S33" s="15" t="s">
        <v>33</v>
      </c>
      <c r="T33" s="15" t="e">
        <f t="shared" si="6"/>
        <v>#VALUE!</v>
      </c>
      <c r="U33" s="17" t="e">
        <f t="shared" si="7"/>
        <v>#VALUE!</v>
      </c>
      <c r="V33" s="50" t="s">
        <v>202</v>
      </c>
      <c r="W33" s="17">
        <v>20</v>
      </c>
      <c r="X33" s="10" t="s">
        <v>75</v>
      </c>
      <c r="Y33" s="10" t="s">
        <v>203</v>
      </c>
      <c r="Z33" s="10" t="s">
        <v>204</v>
      </c>
      <c r="AA33" s="10" t="s">
        <v>176</v>
      </c>
      <c r="AB33" s="10" t="s">
        <v>85</v>
      </c>
      <c r="AC33" s="18"/>
    </row>
    <row r="34" spans="1:29" ht="47.25" x14ac:dyDescent="0.25">
      <c r="A34" s="9">
        <f>SUBTOTAL(3,$B$2:B34)</f>
        <v>33</v>
      </c>
      <c r="B34" s="10" t="s">
        <v>205</v>
      </c>
      <c r="C34" s="11">
        <v>40201012206</v>
      </c>
      <c r="D34" s="12"/>
      <c r="E34" s="13">
        <v>0</v>
      </c>
      <c r="F34" s="13"/>
      <c r="G34" s="13">
        <v>0</v>
      </c>
      <c r="H34" s="13">
        <v>0</v>
      </c>
      <c r="I34" s="14">
        <v>36946</v>
      </c>
      <c r="J34" s="15">
        <f t="shared" ca="1" si="0"/>
        <v>25</v>
      </c>
      <c r="K34" s="10" t="s">
        <v>30</v>
      </c>
      <c r="L34" s="10"/>
      <c r="M34" s="10" t="s">
        <v>206</v>
      </c>
      <c r="N34" s="10" t="s">
        <v>206</v>
      </c>
      <c r="O34" s="14">
        <v>46001</v>
      </c>
      <c r="P34" s="14">
        <f>EDATE(O34,W34)</f>
        <v>46548</v>
      </c>
      <c r="Q34" s="17"/>
      <c r="R34" s="17">
        <v>6</v>
      </c>
      <c r="S34" s="15" t="s">
        <v>33</v>
      </c>
      <c r="T34" s="15" t="e">
        <f t="shared" si="6"/>
        <v>#VALUE!</v>
      </c>
      <c r="U34" s="17" t="e">
        <f t="shared" si="7"/>
        <v>#VALUE!</v>
      </c>
      <c r="V34" s="14" t="s">
        <v>207</v>
      </c>
      <c r="W34" s="17">
        <v>18</v>
      </c>
      <c r="X34" s="10" t="s">
        <v>35</v>
      </c>
      <c r="Y34" s="10"/>
      <c r="Z34" s="10"/>
      <c r="AA34" s="10" t="s">
        <v>36</v>
      </c>
      <c r="AB34" s="28" t="s">
        <v>208</v>
      </c>
      <c r="AC34" s="18"/>
    </row>
    <row r="35" spans="1:29" ht="47.25" x14ac:dyDescent="0.25">
      <c r="A35" s="9">
        <f>SUBTOTAL(3,$B$2:B35)</f>
        <v>34</v>
      </c>
      <c r="B35" s="16" t="s">
        <v>209</v>
      </c>
      <c r="C35" s="29">
        <v>40084038465</v>
      </c>
      <c r="D35" s="19"/>
      <c r="E35" s="15">
        <v>0</v>
      </c>
      <c r="F35" s="15"/>
      <c r="G35" s="15">
        <v>0</v>
      </c>
      <c r="H35" s="15">
        <v>0</v>
      </c>
      <c r="I35" s="19">
        <v>30788</v>
      </c>
      <c r="J35" s="15">
        <f t="shared" ca="1" si="0"/>
        <v>42</v>
      </c>
      <c r="K35" s="10" t="s">
        <v>30</v>
      </c>
      <c r="L35" s="10"/>
      <c r="M35" s="10" t="s">
        <v>210</v>
      </c>
      <c r="N35" s="10" t="s">
        <v>211</v>
      </c>
      <c r="O35" s="19">
        <v>45993</v>
      </c>
      <c r="P35" s="14">
        <f>EDATE(O35,W35)</f>
        <v>46540</v>
      </c>
      <c r="Q35" s="17"/>
      <c r="R35" s="17">
        <v>6</v>
      </c>
      <c r="S35" s="15" t="s">
        <v>33</v>
      </c>
      <c r="T35" s="15" t="e">
        <f t="shared" si="6"/>
        <v>#VALUE!</v>
      </c>
      <c r="U35" s="15" t="e">
        <f t="shared" si="7"/>
        <v>#VALUE!</v>
      </c>
      <c r="V35" s="16" t="s">
        <v>212</v>
      </c>
      <c r="W35" s="15">
        <v>18</v>
      </c>
      <c r="X35" s="10" t="s">
        <v>35</v>
      </c>
      <c r="Y35" s="10"/>
      <c r="Z35" s="10"/>
      <c r="AA35" s="10" t="s">
        <v>36</v>
      </c>
      <c r="AB35" s="10" t="s">
        <v>146</v>
      </c>
      <c r="AC35" s="18"/>
    </row>
    <row r="36" spans="1:29" ht="63" x14ac:dyDescent="0.25">
      <c r="A36" s="9">
        <f>SUBTOTAL(3,$B$2:B36)</f>
        <v>35</v>
      </c>
      <c r="B36" s="10" t="s">
        <v>213</v>
      </c>
      <c r="C36" s="27">
        <v>40091016673</v>
      </c>
      <c r="D36" s="14"/>
      <c r="E36" s="17">
        <v>0</v>
      </c>
      <c r="F36" s="17"/>
      <c r="G36" s="17">
        <v>0</v>
      </c>
      <c r="H36" s="17">
        <v>1</v>
      </c>
      <c r="I36" s="14">
        <v>33261</v>
      </c>
      <c r="J36" s="15">
        <f t="shared" ca="1" si="0"/>
        <v>35</v>
      </c>
      <c r="K36" s="10" t="s">
        <v>113</v>
      </c>
      <c r="L36" s="10"/>
      <c r="M36" s="10" t="s">
        <v>214</v>
      </c>
      <c r="N36" s="10" t="s">
        <v>215</v>
      </c>
      <c r="O36" s="14">
        <v>45582</v>
      </c>
      <c r="P36" s="14">
        <f>EDATE(O36,W36)</f>
        <v>46220</v>
      </c>
      <c r="Q36" s="17">
        <v>7</v>
      </c>
      <c r="R36" s="17"/>
      <c r="S36" s="15" t="s">
        <v>33</v>
      </c>
      <c r="T36" s="15" t="e">
        <f t="shared" si="6"/>
        <v>#VALUE!</v>
      </c>
      <c r="U36" s="17" t="e">
        <f t="shared" si="7"/>
        <v>#VALUE!</v>
      </c>
      <c r="V36" s="10" t="s">
        <v>216</v>
      </c>
      <c r="W36" s="17">
        <v>21</v>
      </c>
      <c r="X36" s="10" t="s">
        <v>35</v>
      </c>
      <c r="Y36" s="10"/>
      <c r="Z36" s="10" t="s">
        <v>217</v>
      </c>
      <c r="AA36" s="10" t="s">
        <v>36</v>
      </c>
      <c r="AB36" s="10" t="s">
        <v>45</v>
      </c>
      <c r="AC36" s="18"/>
    </row>
    <row r="37" spans="1:29" ht="47.25" x14ac:dyDescent="0.25">
      <c r="A37" s="9">
        <f>SUBTOTAL(3,$B$2:B37)</f>
        <v>36</v>
      </c>
      <c r="B37" s="10" t="s">
        <v>218</v>
      </c>
      <c r="C37" s="27">
        <v>40099011352</v>
      </c>
      <c r="D37" s="14"/>
      <c r="E37" s="17">
        <v>0</v>
      </c>
      <c r="F37" s="17"/>
      <c r="G37" s="17">
        <v>0</v>
      </c>
      <c r="H37" s="17">
        <v>1</v>
      </c>
      <c r="I37" s="14">
        <v>36445</v>
      </c>
      <c r="J37" s="15">
        <f t="shared" ca="1" si="0"/>
        <v>26</v>
      </c>
      <c r="K37" s="10" t="s">
        <v>113</v>
      </c>
      <c r="L37" s="10"/>
      <c r="M37" s="10" t="s">
        <v>219</v>
      </c>
      <c r="N37" s="10" t="s">
        <v>170</v>
      </c>
      <c r="O37" s="14">
        <v>45586</v>
      </c>
      <c r="P37" s="14">
        <f>EDATE(O37,W37)</f>
        <v>46224</v>
      </c>
      <c r="Q37" s="17">
        <v>7</v>
      </c>
      <c r="R37" s="17"/>
      <c r="S37" s="15" t="s">
        <v>33</v>
      </c>
      <c r="T37" s="15" t="e">
        <f t="shared" si="6"/>
        <v>#VALUE!</v>
      </c>
      <c r="U37" s="17" t="e">
        <f t="shared" si="7"/>
        <v>#VALUE!</v>
      </c>
      <c r="V37" s="10" t="s">
        <v>220</v>
      </c>
      <c r="W37" s="17">
        <v>21</v>
      </c>
      <c r="X37" s="10" t="s">
        <v>35</v>
      </c>
      <c r="Y37" s="10"/>
      <c r="Z37" s="10" t="s">
        <v>221</v>
      </c>
      <c r="AA37" s="10" t="s">
        <v>36</v>
      </c>
      <c r="AB37" s="10" t="s">
        <v>45</v>
      </c>
      <c r="AC37" s="18"/>
    </row>
    <row r="38" spans="1:29" ht="47.25" x14ac:dyDescent="0.25">
      <c r="A38" s="9">
        <f>SUBTOTAL(3,$B$2:B38)</f>
        <v>37</v>
      </c>
      <c r="B38" s="16" t="s">
        <v>222</v>
      </c>
      <c r="C38" s="27" t="s">
        <v>223</v>
      </c>
      <c r="D38" s="19"/>
      <c r="E38" s="15">
        <v>0</v>
      </c>
      <c r="F38" s="15"/>
      <c r="G38" s="15">
        <v>1</v>
      </c>
      <c r="H38" s="15">
        <v>0</v>
      </c>
      <c r="I38" s="19">
        <v>32267</v>
      </c>
      <c r="J38" s="15">
        <f t="shared" ca="1" si="0"/>
        <v>38</v>
      </c>
      <c r="K38" s="16" t="s">
        <v>224</v>
      </c>
      <c r="L38" s="16"/>
      <c r="M38" s="16" t="s">
        <v>225</v>
      </c>
      <c r="N38" s="16" t="s">
        <v>225</v>
      </c>
      <c r="O38" s="16"/>
      <c r="P38" s="19">
        <v>46399</v>
      </c>
      <c r="Q38" s="15"/>
      <c r="R38" s="15">
        <v>1</v>
      </c>
      <c r="S38" s="15" t="s">
        <v>33</v>
      </c>
      <c r="T38" s="15"/>
      <c r="U38" s="15" t="e">
        <f t="shared" si="7"/>
        <v>#VALUE!</v>
      </c>
      <c r="V38" s="16" t="s">
        <v>226</v>
      </c>
      <c r="W38" s="15">
        <v>24</v>
      </c>
      <c r="X38" s="10" t="s">
        <v>75</v>
      </c>
      <c r="Y38" s="10"/>
      <c r="Z38" s="10" t="s">
        <v>227</v>
      </c>
      <c r="AA38" s="10" t="s">
        <v>228</v>
      </c>
      <c r="AB38" s="10" t="s">
        <v>229</v>
      </c>
      <c r="AC38" s="18"/>
    </row>
    <row r="39" spans="1:29" ht="63" x14ac:dyDescent="0.25">
      <c r="A39" s="9">
        <f>SUBTOTAL(3,$B$2:B39)</f>
        <v>38</v>
      </c>
      <c r="B39" s="10" t="s">
        <v>230</v>
      </c>
      <c r="C39" s="11">
        <v>40092021371</v>
      </c>
      <c r="D39" s="14">
        <v>44995</v>
      </c>
      <c r="E39" s="17">
        <v>0</v>
      </c>
      <c r="F39" s="17"/>
      <c r="G39" s="17">
        <v>0</v>
      </c>
      <c r="H39" s="17">
        <v>0</v>
      </c>
      <c r="I39" s="14">
        <v>33818</v>
      </c>
      <c r="J39" s="15">
        <f t="shared" ca="1" si="0"/>
        <v>33</v>
      </c>
      <c r="K39" s="14" t="s">
        <v>231</v>
      </c>
      <c r="L39" s="14"/>
      <c r="M39" s="10" t="s">
        <v>232</v>
      </c>
      <c r="N39" s="17" t="s">
        <v>233</v>
      </c>
      <c r="O39" s="12">
        <v>46031</v>
      </c>
      <c r="P39" s="14">
        <f>EDATE(O39,W39)</f>
        <v>46396</v>
      </c>
      <c r="Q39" s="17"/>
      <c r="R39" s="17">
        <v>1</v>
      </c>
      <c r="S39" s="15" t="s">
        <v>234</v>
      </c>
      <c r="T39" s="15" t="e">
        <f t="shared" ref="T39:T72" si="8">DATEDIF(O39,$J$1,"m")</f>
        <v>#VALUE!</v>
      </c>
      <c r="U39" s="13" t="e">
        <f t="shared" si="7"/>
        <v>#VALUE!</v>
      </c>
      <c r="V39" s="10" t="s">
        <v>235</v>
      </c>
      <c r="W39" s="17">
        <v>12</v>
      </c>
      <c r="X39" s="10"/>
      <c r="Y39" s="10"/>
      <c r="Z39" s="10"/>
      <c r="AA39" s="10" t="s">
        <v>228</v>
      </c>
      <c r="AB39" s="10"/>
      <c r="AC39" s="18"/>
    </row>
    <row r="40" spans="1:29" ht="63" x14ac:dyDescent="0.25">
      <c r="A40" s="9">
        <f>SUBTOTAL(3,$B$2:B40)</f>
        <v>39</v>
      </c>
      <c r="B40" s="10" t="s">
        <v>236</v>
      </c>
      <c r="C40" s="11">
        <v>40095027425</v>
      </c>
      <c r="D40" s="14">
        <v>44995</v>
      </c>
      <c r="E40" s="17">
        <v>0</v>
      </c>
      <c r="F40" s="17"/>
      <c r="G40" s="17">
        <v>0</v>
      </c>
      <c r="H40" s="17">
        <v>0</v>
      </c>
      <c r="I40" s="14">
        <v>34921</v>
      </c>
      <c r="J40" s="15">
        <f t="shared" ca="1" si="0"/>
        <v>30</v>
      </c>
      <c r="K40" s="14" t="s">
        <v>231</v>
      </c>
      <c r="L40" s="14"/>
      <c r="M40" s="10" t="s">
        <v>232</v>
      </c>
      <c r="N40" s="17" t="s">
        <v>237</v>
      </c>
      <c r="O40" s="12">
        <v>46031</v>
      </c>
      <c r="P40" s="14">
        <f>EDATE(O40,W40)</f>
        <v>46396</v>
      </c>
      <c r="Q40" s="17"/>
      <c r="R40" s="17">
        <v>1</v>
      </c>
      <c r="S40" s="15" t="s">
        <v>234</v>
      </c>
      <c r="T40" s="15" t="e">
        <f t="shared" si="8"/>
        <v>#VALUE!</v>
      </c>
      <c r="U40" s="13" t="e">
        <f t="shared" si="7"/>
        <v>#VALUE!</v>
      </c>
      <c r="V40" s="10" t="s">
        <v>238</v>
      </c>
      <c r="W40" s="17">
        <v>12</v>
      </c>
      <c r="X40" s="10"/>
      <c r="Y40" s="10"/>
      <c r="Z40" s="10"/>
      <c r="AA40" s="10" t="s">
        <v>228</v>
      </c>
      <c r="AB40" s="10"/>
      <c r="AC40" s="18"/>
    </row>
    <row r="41" spans="1:29" ht="63" x14ac:dyDescent="0.25">
      <c r="A41" s="9">
        <f>SUBTOTAL(3,$B$2:B41)</f>
        <v>40</v>
      </c>
      <c r="B41" s="10" t="s">
        <v>239</v>
      </c>
      <c r="C41" s="11">
        <v>40067023940</v>
      </c>
      <c r="D41" s="14">
        <v>45065</v>
      </c>
      <c r="E41" s="17" t="s">
        <v>240</v>
      </c>
      <c r="F41" s="17"/>
      <c r="G41" s="17">
        <v>0</v>
      </c>
      <c r="H41" s="17">
        <v>0</v>
      </c>
      <c r="I41" s="14">
        <v>24564</v>
      </c>
      <c r="J41" s="15">
        <f t="shared" ca="1" si="0"/>
        <v>59</v>
      </c>
      <c r="K41" s="14" t="s">
        <v>231</v>
      </c>
      <c r="L41" s="14"/>
      <c r="M41" s="10" t="s">
        <v>232</v>
      </c>
      <c r="N41" s="45" t="s">
        <v>241</v>
      </c>
      <c r="O41" s="12">
        <v>46031</v>
      </c>
      <c r="P41" s="14">
        <f>EDATE(O41,W41)</f>
        <v>46396</v>
      </c>
      <c r="Q41" s="17"/>
      <c r="R41" s="17">
        <v>1</v>
      </c>
      <c r="S41" s="15" t="s">
        <v>234</v>
      </c>
      <c r="T41" s="15" t="e">
        <f t="shared" si="8"/>
        <v>#VALUE!</v>
      </c>
      <c r="U41" s="13" t="e">
        <f t="shared" si="7"/>
        <v>#VALUE!</v>
      </c>
      <c r="V41" s="10" t="s">
        <v>242</v>
      </c>
      <c r="W41" s="17">
        <v>12</v>
      </c>
      <c r="X41" s="10"/>
      <c r="Y41" s="10"/>
      <c r="Z41" s="10"/>
      <c r="AA41" s="10" t="s">
        <v>228</v>
      </c>
      <c r="AB41" s="10"/>
      <c r="AC41" s="18"/>
    </row>
    <row r="42" spans="1:29" ht="63" x14ac:dyDescent="0.25">
      <c r="A42" s="9">
        <f>SUBTOTAL(3,$B$2:B42)</f>
        <v>41</v>
      </c>
      <c r="B42" s="10" t="s">
        <v>243</v>
      </c>
      <c r="C42" s="27">
        <v>40099006192</v>
      </c>
      <c r="D42" s="14">
        <v>44844</v>
      </c>
      <c r="E42" s="17">
        <v>0</v>
      </c>
      <c r="F42" s="17"/>
      <c r="G42" s="17">
        <v>0</v>
      </c>
      <c r="H42" s="17">
        <v>0</v>
      </c>
      <c r="I42" s="14">
        <v>36327</v>
      </c>
      <c r="J42" s="15">
        <f t="shared" ca="1" si="0"/>
        <v>27</v>
      </c>
      <c r="K42" s="10" t="s">
        <v>244</v>
      </c>
      <c r="L42" s="10"/>
      <c r="M42" s="10" t="s">
        <v>245</v>
      </c>
      <c r="N42" s="10" t="s">
        <v>246</v>
      </c>
      <c r="O42" s="14">
        <v>45678</v>
      </c>
      <c r="P42" s="14">
        <v>46225</v>
      </c>
      <c r="Q42" s="17">
        <v>7</v>
      </c>
      <c r="R42" s="17"/>
      <c r="S42" s="15" t="s">
        <v>33</v>
      </c>
      <c r="T42" s="15" t="e">
        <f t="shared" si="8"/>
        <v>#VALUE!</v>
      </c>
      <c r="U42" s="17" t="e">
        <f t="shared" si="7"/>
        <v>#VALUE!</v>
      </c>
      <c r="V42" s="10" t="s">
        <v>247</v>
      </c>
      <c r="W42" s="17">
        <v>19</v>
      </c>
      <c r="X42" s="10" t="s">
        <v>43</v>
      </c>
      <c r="Y42" s="10" t="s">
        <v>248</v>
      </c>
      <c r="Z42" s="10" t="s">
        <v>249</v>
      </c>
      <c r="AA42" s="10" t="s">
        <v>36</v>
      </c>
      <c r="AB42" s="10" t="s">
        <v>250</v>
      </c>
      <c r="AC42" s="18"/>
    </row>
    <row r="43" spans="1:29" ht="47.25" x14ac:dyDescent="0.25">
      <c r="A43" s="9">
        <f>SUBTOTAL(3,$B$2:B43)</f>
        <v>42</v>
      </c>
      <c r="B43" s="16" t="s">
        <v>251</v>
      </c>
      <c r="C43" s="29">
        <v>40094030848</v>
      </c>
      <c r="D43" s="19"/>
      <c r="E43" s="15" t="s">
        <v>252</v>
      </c>
      <c r="F43" s="15"/>
      <c r="G43" s="15">
        <v>0</v>
      </c>
      <c r="H43" s="15">
        <v>0</v>
      </c>
      <c r="I43" s="19">
        <v>34668</v>
      </c>
      <c r="J43" s="15">
        <f t="shared" ca="1" si="0"/>
        <v>31</v>
      </c>
      <c r="K43" s="16" t="s">
        <v>67</v>
      </c>
      <c r="L43" s="16"/>
      <c r="M43" s="16" t="s">
        <v>68</v>
      </c>
      <c r="N43" s="16"/>
      <c r="O43" s="31">
        <v>45815</v>
      </c>
      <c r="P43" s="19">
        <f>EDATE(O43,W43)</f>
        <v>46425</v>
      </c>
      <c r="Q43" s="15"/>
      <c r="R43" s="15">
        <v>2</v>
      </c>
      <c r="S43" s="15" t="s">
        <v>33</v>
      </c>
      <c r="T43" s="15" t="e">
        <f t="shared" si="8"/>
        <v>#VALUE!</v>
      </c>
      <c r="U43" s="15" t="e">
        <f t="shared" si="7"/>
        <v>#VALUE!</v>
      </c>
      <c r="V43" s="51" t="s">
        <v>253</v>
      </c>
      <c r="W43" s="15">
        <v>20</v>
      </c>
      <c r="X43" s="10" t="s">
        <v>43</v>
      </c>
      <c r="Y43" s="10"/>
      <c r="Z43" s="10"/>
      <c r="AA43" s="10" t="s">
        <v>36</v>
      </c>
      <c r="AB43" s="10"/>
      <c r="AC43" s="18"/>
    </row>
    <row r="44" spans="1:29" ht="47.25" x14ac:dyDescent="0.25">
      <c r="A44" s="9">
        <f>SUBTOTAL(3,$B$2:B44)</f>
        <v>43</v>
      </c>
      <c r="B44" s="10" t="s">
        <v>254</v>
      </c>
      <c r="C44" s="11">
        <v>40089035719</v>
      </c>
      <c r="D44" s="12"/>
      <c r="E44" s="13">
        <v>0</v>
      </c>
      <c r="F44" s="13"/>
      <c r="G44" s="13">
        <v>1</v>
      </c>
      <c r="H44" s="13">
        <v>0</v>
      </c>
      <c r="I44" s="14">
        <v>32692</v>
      </c>
      <c r="J44" s="15">
        <f t="shared" ca="1" si="0"/>
        <v>37</v>
      </c>
      <c r="K44" s="10" t="s">
        <v>30</v>
      </c>
      <c r="L44" s="10"/>
      <c r="M44" s="10" t="s">
        <v>31</v>
      </c>
      <c r="N44" s="16" t="s">
        <v>32</v>
      </c>
      <c r="O44" s="14">
        <v>46001</v>
      </c>
      <c r="P44" s="14">
        <f>EDATE(O44,W44)</f>
        <v>46731</v>
      </c>
      <c r="Q44" s="17"/>
      <c r="R44" s="17">
        <v>12</v>
      </c>
      <c r="S44" s="15" t="s">
        <v>33</v>
      </c>
      <c r="T44" s="15" t="e">
        <f t="shared" si="8"/>
        <v>#VALUE!</v>
      </c>
      <c r="U44" s="17" t="e">
        <f t="shared" si="7"/>
        <v>#VALUE!</v>
      </c>
      <c r="V44" s="14" t="s">
        <v>255</v>
      </c>
      <c r="W44" s="17">
        <v>24</v>
      </c>
      <c r="X44" s="10" t="s">
        <v>35</v>
      </c>
      <c r="Y44" s="10"/>
      <c r="Z44" s="10"/>
      <c r="AA44" s="10" t="s">
        <v>36</v>
      </c>
      <c r="AB44" s="10" t="s">
        <v>37</v>
      </c>
      <c r="AC44" s="18"/>
    </row>
    <row r="45" spans="1:29" ht="47.25" x14ac:dyDescent="0.25">
      <c r="A45" s="9">
        <f>SUBTOTAL(3,$B$2:B45)</f>
        <v>44</v>
      </c>
      <c r="B45" s="10" t="s">
        <v>256</v>
      </c>
      <c r="C45" s="11">
        <v>40087042430</v>
      </c>
      <c r="D45" s="12"/>
      <c r="E45" s="13">
        <v>0</v>
      </c>
      <c r="F45" s="13"/>
      <c r="G45" s="13">
        <v>1</v>
      </c>
      <c r="H45" s="13">
        <v>0</v>
      </c>
      <c r="I45" s="14">
        <v>32016</v>
      </c>
      <c r="J45" s="15">
        <f t="shared" ca="1" si="0"/>
        <v>38</v>
      </c>
      <c r="K45" s="10" t="s">
        <v>30</v>
      </c>
      <c r="L45" s="10"/>
      <c r="M45" s="10" t="s">
        <v>158</v>
      </c>
      <c r="N45" s="10" t="s">
        <v>158</v>
      </c>
      <c r="O45" s="14">
        <v>46001</v>
      </c>
      <c r="P45" s="14">
        <f>EDATE(O45,W45)</f>
        <v>46640</v>
      </c>
      <c r="Q45" s="17"/>
      <c r="R45" s="17">
        <v>6</v>
      </c>
      <c r="S45" s="15" t="s">
        <v>33</v>
      </c>
      <c r="T45" s="15" t="e">
        <f t="shared" si="8"/>
        <v>#VALUE!</v>
      </c>
      <c r="U45" s="17" t="e">
        <f t="shared" si="7"/>
        <v>#VALUE!</v>
      </c>
      <c r="V45" s="16" t="s">
        <v>257</v>
      </c>
      <c r="W45" s="17">
        <v>21</v>
      </c>
      <c r="X45" s="10" t="s">
        <v>35</v>
      </c>
      <c r="Y45" s="10"/>
      <c r="Z45" s="10"/>
      <c r="AA45" s="10" t="s">
        <v>36</v>
      </c>
      <c r="AB45" s="10" t="s">
        <v>37</v>
      </c>
      <c r="AC45" s="18"/>
    </row>
    <row r="46" spans="1:29" ht="63" x14ac:dyDescent="0.25">
      <c r="A46" s="9">
        <f>SUBTOTAL(3,$B$2:B46)</f>
        <v>45</v>
      </c>
      <c r="B46" s="9" t="s">
        <v>258</v>
      </c>
      <c r="C46" s="11">
        <v>40089026688</v>
      </c>
      <c r="D46" s="12"/>
      <c r="E46" s="13">
        <v>0</v>
      </c>
      <c r="F46" s="13"/>
      <c r="G46" s="13">
        <v>0</v>
      </c>
      <c r="H46" s="13">
        <v>0</v>
      </c>
      <c r="I46" s="12">
        <v>32699</v>
      </c>
      <c r="J46" s="15">
        <f t="shared" ca="1" si="0"/>
        <v>37</v>
      </c>
      <c r="K46" s="10" t="s">
        <v>67</v>
      </c>
      <c r="L46" s="10"/>
      <c r="M46" s="9" t="s">
        <v>259</v>
      </c>
      <c r="N46" s="9"/>
      <c r="O46" s="12">
        <v>45657</v>
      </c>
      <c r="P46" s="14">
        <v>46253</v>
      </c>
      <c r="Q46" s="17">
        <v>8</v>
      </c>
      <c r="R46" s="17"/>
      <c r="S46" s="15" t="s">
        <v>33</v>
      </c>
      <c r="T46" s="15" t="e">
        <f t="shared" si="8"/>
        <v>#VALUE!</v>
      </c>
      <c r="U46" s="13" t="e">
        <f t="shared" si="7"/>
        <v>#VALUE!</v>
      </c>
      <c r="V46" s="32" t="s">
        <v>260</v>
      </c>
      <c r="W46" s="15">
        <v>19</v>
      </c>
      <c r="X46" s="10" t="s">
        <v>43</v>
      </c>
      <c r="Y46" s="10"/>
      <c r="Z46" s="10"/>
      <c r="AA46" s="10" t="s">
        <v>36</v>
      </c>
      <c r="AB46" s="10" t="s">
        <v>101</v>
      </c>
      <c r="AC46" s="18"/>
    </row>
    <row r="47" spans="1:29" ht="47.25" x14ac:dyDescent="0.25">
      <c r="A47" s="9">
        <f>SUBTOTAL(3,$B$2:B47)</f>
        <v>46</v>
      </c>
      <c r="B47" s="10" t="s">
        <v>261</v>
      </c>
      <c r="C47" s="27">
        <v>40076017750</v>
      </c>
      <c r="D47" s="14"/>
      <c r="E47" s="17">
        <v>0</v>
      </c>
      <c r="F47" s="17"/>
      <c r="G47" s="17">
        <v>1</v>
      </c>
      <c r="H47" s="17">
        <v>0</v>
      </c>
      <c r="I47" s="14">
        <v>28043</v>
      </c>
      <c r="J47" s="15">
        <f t="shared" ca="1" si="0"/>
        <v>49</v>
      </c>
      <c r="K47" s="10" t="s">
        <v>30</v>
      </c>
      <c r="L47" s="10"/>
      <c r="M47" s="10" t="s">
        <v>62</v>
      </c>
      <c r="N47" s="10" t="s">
        <v>63</v>
      </c>
      <c r="O47" s="19">
        <v>45993</v>
      </c>
      <c r="P47" s="14">
        <f t="shared" ref="P47:P53" si="9">EDATE(O47,W47)</f>
        <v>46540</v>
      </c>
      <c r="Q47" s="17"/>
      <c r="R47" s="17">
        <v>6</v>
      </c>
      <c r="S47" s="15" t="s">
        <v>33</v>
      </c>
      <c r="T47" s="15" t="e">
        <f t="shared" si="8"/>
        <v>#VALUE!</v>
      </c>
      <c r="U47" s="15" t="e">
        <f t="shared" si="7"/>
        <v>#VALUE!</v>
      </c>
      <c r="V47" s="10" t="s">
        <v>262</v>
      </c>
      <c r="W47" s="17">
        <v>18</v>
      </c>
      <c r="X47" s="10" t="s">
        <v>35</v>
      </c>
      <c r="Y47" s="10"/>
      <c r="Z47" s="10"/>
      <c r="AA47" s="10" t="s">
        <v>36</v>
      </c>
      <c r="AB47" s="10" t="s">
        <v>229</v>
      </c>
      <c r="AC47" s="18"/>
    </row>
    <row r="48" spans="1:29" ht="47.25" x14ac:dyDescent="0.25">
      <c r="A48" s="9">
        <f>SUBTOTAL(3,$B$2:B48)</f>
        <v>47</v>
      </c>
      <c r="B48" s="10" t="s">
        <v>263</v>
      </c>
      <c r="C48" s="27">
        <v>40086012219</v>
      </c>
      <c r="D48" s="14"/>
      <c r="E48" s="17">
        <v>0</v>
      </c>
      <c r="F48" s="17"/>
      <c r="G48" s="17">
        <v>0</v>
      </c>
      <c r="H48" s="17">
        <v>0</v>
      </c>
      <c r="I48" s="14">
        <v>31581</v>
      </c>
      <c r="J48" s="15">
        <f t="shared" ca="1" si="0"/>
        <v>40</v>
      </c>
      <c r="K48" s="10" t="s">
        <v>113</v>
      </c>
      <c r="L48" s="10"/>
      <c r="M48" s="10" t="s">
        <v>264</v>
      </c>
      <c r="N48" s="10" t="s">
        <v>133</v>
      </c>
      <c r="O48" s="14">
        <v>45593</v>
      </c>
      <c r="P48" s="14">
        <f t="shared" si="9"/>
        <v>46231</v>
      </c>
      <c r="Q48" s="17">
        <v>7</v>
      </c>
      <c r="R48" s="17"/>
      <c r="S48" s="15" t="s">
        <v>33</v>
      </c>
      <c r="T48" s="15" t="e">
        <f t="shared" si="8"/>
        <v>#VALUE!</v>
      </c>
      <c r="U48" s="17" t="e">
        <f t="shared" si="7"/>
        <v>#VALUE!</v>
      </c>
      <c r="V48" s="10" t="s">
        <v>174</v>
      </c>
      <c r="W48" s="17">
        <v>21</v>
      </c>
      <c r="X48" s="10" t="s">
        <v>35</v>
      </c>
      <c r="Y48" s="10"/>
      <c r="Z48" s="10" t="s">
        <v>265</v>
      </c>
      <c r="AA48" s="10" t="s">
        <v>84</v>
      </c>
      <c r="AB48" s="10" t="s">
        <v>85</v>
      </c>
      <c r="AC48" s="18"/>
    </row>
    <row r="49" spans="1:29" ht="47.25" x14ac:dyDescent="0.25">
      <c r="A49" s="9">
        <f>SUBTOTAL(3,$B$2:B49)</f>
        <v>48</v>
      </c>
      <c r="B49" s="10" t="s">
        <v>266</v>
      </c>
      <c r="C49" s="52">
        <v>40098017508</v>
      </c>
      <c r="D49" s="12"/>
      <c r="E49" s="13" t="s">
        <v>267</v>
      </c>
      <c r="F49" s="13"/>
      <c r="G49" s="17">
        <v>0</v>
      </c>
      <c r="H49" s="17">
        <v>0</v>
      </c>
      <c r="I49" s="14">
        <v>35967</v>
      </c>
      <c r="J49" s="15">
        <f t="shared" ca="1" si="0"/>
        <v>28</v>
      </c>
      <c r="K49" s="10" t="s">
        <v>268</v>
      </c>
      <c r="L49" s="10"/>
      <c r="M49" s="10" t="s">
        <v>269</v>
      </c>
      <c r="N49" s="10"/>
      <c r="O49" s="12">
        <v>46049</v>
      </c>
      <c r="P49" s="14">
        <f t="shared" si="9"/>
        <v>46534</v>
      </c>
      <c r="Q49" s="17"/>
      <c r="R49" s="17">
        <v>5</v>
      </c>
      <c r="S49" s="15" t="s">
        <v>33</v>
      </c>
      <c r="T49" s="15" t="e">
        <f t="shared" si="8"/>
        <v>#VALUE!</v>
      </c>
      <c r="U49" s="13" t="e">
        <f t="shared" si="7"/>
        <v>#VALUE!</v>
      </c>
      <c r="V49" s="10" t="s">
        <v>270</v>
      </c>
      <c r="W49" s="15">
        <v>16</v>
      </c>
      <c r="X49" s="10" t="s">
        <v>75</v>
      </c>
      <c r="Y49" s="10"/>
      <c r="Z49" s="10" t="s">
        <v>271</v>
      </c>
      <c r="AA49" s="10" t="s">
        <v>36</v>
      </c>
      <c r="AB49" s="10" t="s">
        <v>272</v>
      </c>
      <c r="AC49" s="18"/>
    </row>
    <row r="50" spans="1:29" ht="63" x14ac:dyDescent="0.25">
      <c r="A50" s="9">
        <f>SUBTOTAL(3,$B$2:B50)</f>
        <v>49</v>
      </c>
      <c r="B50" s="10" t="s">
        <v>273</v>
      </c>
      <c r="C50" s="27">
        <v>40075008122</v>
      </c>
      <c r="D50" s="14">
        <v>44995</v>
      </c>
      <c r="E50" s="17">
        <v>0</v>
      </c>
      <c r="F50" s="17"/>
      <c r="G50" s="17">
        <v>0</v>
      </c>
      <c r="H50" s="10">
        <v>0</v>
      </c>
      <c r="I50" s="14">
        <v>27520</v>
      </c>
      <c r="J50" s="15">
        <f t="shared" ca="1" si="0"/>
        <v>51</v>
      </c>
      <c r="K50" s="10" t="s">
        <v>231</v>
      </c>
      <c r="L50" s="10"/>
      <c r="M50" s="10" t="s">
        <v>274</v>
      </c>
      <c r="N50" s="10"/>
      <c r="O50" s="14">
        <v>46042</v>
      </c>
      <c r="P50" s="14">
        <f t="shared" si="9"/>
        <v>46223</v>
      </c>
      <c r="Q50" s="17">
        <v>7</v>
      </c>
      <c r="R50" s="17"/>
      <c r="S50" s="15" t="s">
        <v>275</v>
      </c>
      <c r="T50" s="15" t="e">
        <f t="shared" si="8"/>
        <v>#VALUE!</v>
      </c>
      <c r="U50" s="17" t="e">
        <f t="shared" si="7"/>
        <v>#VALUE!</v>
      </c>
      <c r="V50" s="10" t="s">
        <v>276</v>
      </c>
      <c r="W50" s="10">
        <v>6</v>
      </c>
      <c r="X50" s="10"/>
      <c r="Y50" s="10"/>
      <c r="Z50" s="10" t="s">
        <v>277</v>
      </c>
      <c r="AA50" s="10" t="s">
        <v>278</v>
      </c>
      <c r="AB50" s="10" t="s">
        <v>279</v>
      </c>
      <c r="AC50" s="18"/>
    </row>
    <row r="51" spans="1:29" ht="47.25" x14ac:dyDescent="0.25">
      <c r="A51" s="9">
        <f>SUBTOTAL(3,$B$2:B51)</f>
        <v>50</v>
      </c>
      <c r="B51" s="10" t="s">
        <v>280</v>
      </c>
      <c r="C51" s="53">
        <v>40079025117</v>
      </c>
      <c r="D51" s="10"/>
      <c r="E51" s="17"/>
      <c r="F51" s="17"/>
      <c r="G51" s="17">
        <v>0</v>
      </c>
      <c r="H51" s="10">
        <v>0</v>
      </c>
      <c r="I51" s="14">
        <v>29082</v>
      </c>
      <c r="J51" s="15">
        <f t="shared" ca="1" si="0"/>
        <v>46</v>
      </c>
      <c r="K51" s="37" t="s">
        <v>107</v>
      </c>
      <c r="L51" s="37"/>
      <c r="M51" s="10" t="s">
        <v>281</v>
      </c>
      <c r="N51" s="10" t="s">
        <v>281</v>
      </c>
      <c r="O51" s="14">
        <v>46090</v>
      </c>
      <c r="P51" s="14">
        <f t="shared" si="9"/>
        <v>46639</v>
      </c>
      <c r="Q51" s="17"/>
      <c r="R51" s="17">
        <v>9</v>
      </c>
      <c r="S51" s="15" t="s">
        <v>33</v>
      </c>
      <c r="T51" s="15" t="e">
        <f t="shared" si="8"/>
        <v>#VALUE!</v>
      </c>
      <c r="U51" s="17" t="e">
        <f t="shared" si="7"/>
        <v>#VALUE!</v>
      </c>
      <c r="V51" s="10" t="s">
        <v>282</v>
      </c>
      <c r="W51" s="17">
        <v>18</v>
      </c>
      <c r="X51" s="10" t="s">
        <v>75</v>
      </c>
      <c r="Y51" s="10"/>
      <c r="Z51" s="10"/>
      <c r="AA51" s="10"/>
      <c r="AB51" s="10" t="s">
        <v>283</v>
      </c>
      <c r="AC51" s="18"/>
    </row>
    <row r="52" spans="1:29" ht="47.25" x14ac:dyDescent="0.25">
      <c r="A52" s="9">
        <f>SUBTOTAL(3,$B$2:B52)</f>
        <v>51</v>
      </c>
      <c r="B52" s="10" t="s">
        <v>284</v>
      </c>
      <c r="C52" s="53">
        <v>40065000700</v>
      </c>
      <c r="D52" s="14"/>
      <c r="E52" s="17">
        <v>0</v>
      </c>
      <c r="F52" s="17"/>
      <c r="G52" s="17">
        <v>1</v>
      </c>
      <c r="H52" s="10">
        <v>0</v>
      </c>
      <c r="I52" s="14">
        <v>23866</v>
      </c>
      <c r="J52" s="15">
        <f t="shared" ca="1" si="0"/>
        <v>61</v>
      </c>
      <c r="K52" s="37" t="s">
        <v>107</v>
      </c>
      <c r="L52" s="37"/>
      <c r="M52" s="10" t="s">
        <v>281</v>
      </c>
      <c r="N52" s="10" t="s">
        <v>281</v>
      </c>
      <c r="O52" s="14">
        <v>46090</v>
      </c>
      <c r="P52" s="14">
        <f t="shared" si="9"/>
        <v>46577</v>
      </c>
      <c r="Q52" s="17"/>
      <c r="R52" s="17">
        <v>7</v>
      </c>
      <c r="S52" s="15" t="s">
        <v>33</v>
      </c>
      <c r="T52" s="15" t="e">
        <f t="shared" si="8"/>
        <v>#VALUE!</v>
      </c>
      <c r="U52" s="17" t="e">
        <f t="shared" si="7"/>
        <v>#VALUE!</v>
      </c>
      <c r="V52" s="10" t="s">
        <v>285</v>
      </c>
      <c r="W52" s="17">
        <v>16</v>
      </c>
      <c r="X52" s="10" t="s">
        <v>75</v>
      </c>
      <c r="Y52" s="10"/>
      <c r="Z52" s="10"/>
      <c r="AA52" s="10"/>
      <c r="AB52" s="10" t="s">
        <v>286</v>
      </c>
      <c r="AC52" s="18"/>
    </row>
    <row r="53" spans="1:29" ht="47.25" x14ac:dyDescent="0.25">
      <c r="A53" s="9">
        <f>SUBTOTAL(3,$B$2:B53)</f>
        <v>52</v>
      </c>
      <c r="B53" s="10" t="s">
        <v>287</v>
      </c>
      <c r="C53" s="11">
        <v>40094001117</v>
      </c>
      <c r="D53" s="54"/>
      <c r="E53" s="35">
        <v>0</v>
      </c>
      <c r="F53" s="35"/>
      <c r="G53" s="17">
        <v>0</v>
      </c>
      <c r="H53" s="37">
        <v>0</v>
      </c>
      <c r="I53" s="54">
        <v>34593</v>
      </c>
      <c r="J53" s="15">
        <f t="shared" ca="1" si="0"/>
        <v>31</v>
      </c>
      <c r="K53" s="37" t="s">
        <v>39</v>
      </c>
      <c r="L53" s="37"/>
      <c r="M53" s="37" t="s">
        <v>288</v>
      </c>
      <c r="N53" s="37" t="s">
        <v>288</v>
      </c>
      <c r="O53" s="54">
        <v>46091</v>
      </c>
      <c r="P53" s="14">
        <f t="shared" si="9"/>
        <v>46701</v>
      </c>
      <c r="Q53" s="17"/>
      <c r="R53" s="17">
        <v>11</v>
      </c>
      <c r="S53" s="15" t="s">
        <v>289</v>
      </c>
      <c r="T53" s="15" t="e">
        <f t="shared" si="8"/>
        <v>#VALUE!</v>
      </c>
      <c r="U53" s="35" t="e">
        <f t="shared" si="7"/>
        <v>#VALUE!</v>
      </c>
      <c r="V53" s="10" t="s">
        <v>290</v>
      </c>
      <c r="W53" s="17">
        <v>20</v>
      </c>
      <c r="X53" s="10" t="s">
        <v>43</v>
      </c>
      <c r="Y53" s="10"/>
      <c r="Z53" s="10"/>
      <c r="AA53" s="10" t="s">
        <v>36</v>
      </c>
      <c r="AB53" s="10" t="s">
        <v>45</v>
      </c>
      <c r="AC53" s="18"/>
    </row>
    <row r="54" spans="1:29" ht="47.25" x14ac:dyDescent="0.25">
      <c r="A54" s="9">
        <f>SUBTOTAL(3,$B$2:B54)</f>
        <v>53</v>
      </c>
      <c r="B54" s="10" t="s">
        <v>291</v>
      </c>
      <c r="C54" s="27">
        <v>40093023158</v>
      </c>
      <c r="D54" s="14">
        <v>45064</v>
      </c>
      <c r="E54" s="17" t="s">
        <v>292</v>
      </c>
      <c r="F54" s="17"/>
      <c r="G54" s="17">
        <v>0</v>
      </c>
      <c r="H54" s="17">
        <v>1</v>
      </c>
      <c r="I54" s="14">
        <v>34134</v>
      </c>
      <c r="J54" s="15">
        <f t="shared" ca="1" si="0"/>
        <v>33</v>
      </c>
      <c r="K54" s="10" t="s">
        <v>39</v>
      </c>
      <c r="L54" s="10"/>
      <c r="M54" s="10" t="s">
        <v>293</v>
      </c>
      <c r="N54" s="10" t="s">
        <v>294</v>
      </c>
      <c r="O54" s="14">
        <v>46094</v>
      </c>
      <c r="P54" s="14"/>
      <c r="Q54" s="17"/>
      <c r="R54" s="17"/>
      <c r="S54" s="15" t="s">
        <v>33</v>
      </c>
      <c r="T54" s="15" t="e">
        <f t="shared" si="8"/>
        <v>#VALUE!</v>
      </c>
      <c r="U54" s="17" t="e">
        <f t="shared" si="7"/>
        <v>#VALUE!</v>
      </c>
      <c r="V54" s="10" t="s">
        <v>295</v>
      </c>
      <c r="W54" s="10">
        <v>20</v>
      </c>
      <c r="X54" s="10" t="s">
        <v>43</v>
      </c>
      <c r="Y54" s="10"/>
      <c r="Z54" s="10" t="s">
        <v>296</v>
      </c>
      <c r="AA54" s="10" t="s">
        <v>36</v>
      </c>
      <c r="AB54" s="10" t="s">
        <v>85</v>
      </c>
      <c r="AC54" s="18"/>
    </row>
    <row r="55" spans="1:29" ht="47.25" x14ac:dyDescent="0.25">
      <c r="A55" s="9">
        <f>SUBTOTAL(3,$B$2:B55)</f>
        <v>54</v>
      </c>
      <c r="B55" s="21" t="s">
        <v>297</v>
      </c>
      <c r="C55" s="55">
        <v>40092030882</v>
      </c>
      <c r="D55" s="56"/>
      <c r="E55" s="57"/>
      <c r="F55" s="57"/>
      <c r="G55" s="24">
        <v>0</v>
      </c>
      <c r="H55" s="20">
        <v>0</v>
      </c>
      <c r="I55" s="56">
        <v>33886</v>
      </c>
      <c r="J55" s="25">
        <f t="shared" ca="1" si="0"/>
        <v>33</v>
      </c>
      <c r="K55" s="21" t="s">
        <v>298</v>
      </c>
      <c r="L55" s="21"/>
      <c r="M55" s="20" t="s">
        <v>299</v>
      </c>
      <c r="N55" s="20"/>
      <c r="O55" s="58">
        <v>46094</v>
      </c>
      <c r="P55" s="23"/>
      <c r="Q55" s="24"/>
      <c r="R55" s="24"/>
      <c r="S55" s="25" t="s">
        <v>33</v>
      </c>
      <c r="T55" s="25" t="e">
        <f t="shared" si="8"/>
        <v>#VALUE!</v>
      </c>
      <c r="U55" s="57" t="e">
        <f t="shared" si="7"/>
        <v>#VALUE!</v>
      </c>
      <c r="V55" s="21" t="s">
        <v>300</v>
      </c>
      <c r="W55" s="24">
        <v>14</v>
      </c>
      <c r="X55" s="21" t="s">
        <v>75</v>
      </c>
      <c r="Y55" s="21"/>
      <c r="Z55" s="21" t="s">
        <v>301</v>
      </c>
      <c r="AA55" s="21" t="s">
        <v>84</v>
      </c>
      <c r="AB55" s="21" t="s">
        <v>177</v>
      </c>
      <c r="AC55" s="26"/>
    </row>
    <row r="56" spans="1:29" ht="47.25" x14ac:dyDescent="0.25">
      <c r="A56" s="9">
        <f>SUBTOTAL(3,$B$2:B56)</f>
        <v>55</v>
      </c>
      <c r="B56" s="10" t="s">
        <v>302</v>
      </c>
      <c r="C56" s="53">
        <v>40092019439</v>
      </c>
      <c r="D56" s="14">
        <v>44689</v>
      </c>
      <c r="E56" s="17">
        <v>0</v>
      </c>
      <c r="F56" s="17"/>
      <c r="G56" s="17">
        <v>1</v>
      </c>
      <c r="H56" s="10">
        <v>0</v>
      </c>
      <c r="I56" s="14">
        <v>33960</v>
      </c>
      <c r="J56" s="15">
        <f t="shared" ca="1" si="0"/>
        <v>33</v>
      </c>
      <c r="K56" s="10" t="s">
        <v>39</v>
      </c>
      <c r="L56" s="10"/>
      <c r="M56" s="10" t="s">
        <v>303</v>
      </c>
      <c r="N56" s="10" t="s">
        <v>304</v>
      </c>
      <c r="O56" s="12">
        <v>46094</v>
      </c>
      <c r="P56" s="14">
        <f t="shared" ref="P56:P64" si="10">EDATE(O56,W56)</f>
        <v>46673</v>
      </c>
      <c r="Q56" s="17"/>
      <c r="R56" s="17">
        <v>10</v>
      </c>
      <c r="S56" s="15" t="s">
        <v>289</v>
      </c>
      <c r="T56" s="15" t="e">
        <f t="shared" si="8"/>
        <v>#VALUE!</v>
      </c>
      <c r="U56" s="13" t="e">
        <f t="shared" si="7"/>
        <v>#VALUE!</v>
      </c>
      <c r="V56" s="10" t="s">
        <v>305</v>
      </c>
      <c r="W56" s="17">
        <v>19</v>
      </c>
      <c r="X56" s="10" t="s">
        <v>43</v>
      </c>
      <c r="Y56" s="10"/>
      <c r="Z56" s="10"/>
      <c r="AA56" s="10" t="s">
        <v>36</v>
      </c>
      <c r="AB56" s="10" t="s">
        <v>45</v>
      </c>
      <c r="AC56" s="18"/>
    </row>
    <row r="57" spans="1:29" ht="47.25" x14ac:dyDescent="0.25">
      <c r="A57" s="9">
        <f>SUBTOTAL(3,$B$2:B57)</f>
        <v>56</v>
      </c>
      <c r="B57" s="10" t="s">
        <v>306</v>
      </c>
      <c r="C57" s="11">
        <v>40095014086</v>
      </c>
      <c r="D57" s="11"/>
      <c r="E57" s="13">
        <v>0</v>
      </c>
      <c r="F57" s="13"/>
      <c r="G57" s="17">
        <v>0</v>
      </c>
      <c r="H57" s="9">
        <v>0</v>
      </c>
      <c r="I57" s="14">
        <v>34742</v>
      </c>
      <c r="J57" s="15">
        <f t="shared" ca="1" si="0"/>
        <v>31</v>
      </c>
      <c r="K57" s="37" t="s">
        <v>30</v>
      </c>
      <c r="L57" s="37"/>
      <c r="M57" s="10" t="s">
        <v>307</v>
      </c>
      <c r="N57" s="10" t="s">
        <v>308</v>
      </c>
      <c r="O57" s="14">
        <v>46098</v>
      </c>
      <c r="P57" s="14">
        <f t="shared" si="10"/>
        <v>46647</v>
      </c>
      <c r="Q57" s="17"/>
      <c r="R57" s="17">
        <v>9</v>
      </c>
      <c r="S57" s="15" t="s">
        <v>33</v>
      </c>
      <c r="T57" s="15" t="e">
        <f t="shared" si="8"/>
        <v>#VALUE!</v>
      </c>
      <c r="U57" s="17" t="e">
        <f t="shared" si="7"/>
        <v>#VALUE!</v>
      </c>
      <c r="V57" s="10" t="s">
        <v>309</v>
      </c>
      <c r="W57" s="17">
        <v>18</v>
      </c>
      <c r="X57" s="10" t="s">
        <v>35</v>
      </c>
      <c r="Y57" s="10"/>
      <c r="Z57" s="10" t="s">
        <v>310</v>
      </c>
      <c r="AA57" s="10" t="s">
        <v>36</v>
      </c>
      <c r="AB57" s="28" t="s">
        <v>37</v>
      </c>
      <c r="AC57" s="18"/>
    </row>
    <row r="58" spans="1:29" ht="47.25" x14ac:dyDescent="0.25">
      <c r="A58" s="9">
        <f>SUBTOTAL(3,$B$2:B58)</f>
        <v>57</v>
      </c>
      <c r="B58" s="10" t="s">
        <v>311</v>
      </c>
      <c r="C58" s="53">
        <v>40201008683</v>
      </c>
      <c r="D58" s="53"/>
      <c r="E58" s="59">
        <v>0</v>
      </c>
      <c r="F58" s="59"/>
      <c r="G58" s="17">
        <v>0</v>
      </c>
      <c r="H58" s="17">
        <v>0</v>
      </c>
      <c r="I58" s="14">
        <v>37033</v>
      </c>
      <c r="J58" s="15">
        <f t="shared" ca="1" si="0"/>
        <v>25</v>
      </c>
      <c r="K58" s="37" t="s">
        <v>30</v>
      </c>
      <c r="L58" s="37"/>
      <c r="M58" s="10" t="s">
        <v>32</v>
      </c>
      <c r="N58" s="10" t="s">
        <v>32</v>
      </c>
      <c r="O58" s="14">
        <v>46098</v>
      </c>
      <c r="P58" s="14">
        <f t="shared" si="10"/>
        <v>46647</v>
      </c>
      <c r="Q58" s="17"/>
      <c r="R58" s="17">
        <v>9</v>
      </c>
      <c r="S58" s="15" t="s">
        <v>33</v>
      </c>
      <c r="T58" s="15" t="e">
        <f t="shared" si="8"/>
        <v>#VALUE!</v>
      </c>
      <c r="U58" s="17" t="e">
        <f t="shared" si="7"/>
        <v>#VALUE!</v>
      </c>
      <c r="V58" s="10" t="s">
        <v>312</v>
      </c>
      <c r="W58" s="17">
        <v>18</v>
      </c>
      <c r="X58" s="10" t="s">
        <v>35</v>
      </c>
      <c r="Y58" s="10"/>
      <c r="Z58" s="10" t="s">
        <v>313</v>
      </c>
      <c r="AA58" s="10" t="s">
        <v>36</v>
      </c>
      <c r="AB58" s="10" t="s">
        <v>314</v>
      </c>
      <c r="AC58" s="18"/>
    </row>
    <row r="59" spans="1:29" ht="47.25" x14ac:dyDescent="0.25">
      <c r="A59" s="9">
        <f>SUBTOTAL(3,$B$2:B59)</f>
        <v>58</v>
      </c>
      <c r="B59" s="10" t="s">
        <v>315</v>
      </c>
      <c r="C59" s="11">
        <v>40090039840</v>
      </c>
      <c r="D59" s="11"/>
      <c r="E59" s="13">
        <v>0</v>
      </c>
      <c r="F59" s="13"/>
      <c r="G59" s="17">
        <v>0</v>
      </c>
      <c r="H59" s="17">
        <v>0</v>
      </c>
      <c r="I59" s="14">
        <v>33014</v>
      </c>
      <c r="J59" s="15">
        <f t="shared" ca="1" si="0"/>
        <v>36</v>
      </c>
      <c r="K59" s="37" t="s">
        <v>30</v>
      </c>
      <c r="L59" s="37"/>
      <c r="M59" s="10" t="s">
        <v>210</v>
      </c>
      <c r="N59" s="10" t="s">
        <v>211</v>
      </c>
      <c r="O59" s="14">
        <v>46098</v>
      </c>
      <c r="P59" s="14">
        <f t="shared" si="10"/>
        <v>46647</v>
      </c>
      <c r="Q59" s="17"/>
      <c r="R59" s="17">
        <v>9</v>
      </c>
      <c r="S59" s="15" t="s">
        <v>33</v>
      </c>
      <c r="T59" s="15" t="e">
        <f t="shared" si="8"/>
        <v>#VALUE!</v>
      </c>
      <c r="U59" s="17" t="e">
        <f t="shared" si="7"/>
        <v>#VALUE!</v>
      </c>
      <c r="V59" s="10" t="s">
        <v>316</v>
      </c>
      <c r="W59" s="10">
        <v>18</v>
      </c>
      <c r="X59" s="10" t="s">
        <v>35</v>
      </c>
      <c r="Y59" s="10"/>
      <c r="Z59" s="10" t="s">
        <v>317</v>
      </c>
      <c r="AA59" s="10" t="s">
        <v>36</v>
      </c>
      <c r="AB59" s="10" t="s">
        <v>37</v>
      </c>
      <c r="AC59" s="18"/>
    </row>
    <row r="60" spans="1:29" ht="47.25" x14ac:dyDescent="0.25">
      <c r="A60" s="9">
        <f>SUBTOTAL(3,$B$2:B60)</f>
        <v>59</v>
      </c>
      <c r="B60" s="10" t="s">
        <v>318</v>
      </c>
      <c r="C60" s="53">
        <v>40202013739</v>
      </c>
      <c r="D60" s="53"/>
      <c r="E60" s="59">
        <v>0</v>
      </c>
      <c r="F60" s="59"/>
      <c r="G60" s="17">
        <v>0</v>
      </c>
      <c r="H60" s="17">
        <v>0</v>
      </c>
      <c r="I60" s="14">
        <v>37477</v>
      </c>
      <c r="J60" s="15">
        <f t="shared" ca="1" si="0"/>
        <v>23</v>
      </c>
      <c r="K60" s="37" t="s">
        <v>30</v>
      </c>
      <c r="L60" s="37"/>
      <c r="M60" s="10" t="s">
        <v>59</v>
      </c>
      <c r="N60" s="10" t="s">
        <v>319</v>
      </c>
      <c r="O60" s="14">
        <v>46098</v>
      </c>
      <c r="P60" s="14">
        <f t="shared" si="10"/>
        <v>46647</v>
      </c>
      <c r="Q60" s="17"/>
      <c r="R60" s="17">
        <v>9</v>
      </c>
      <c r="S60" s="15" t="s">
        <v>33</v>
      </c>
      <c r="T60" s="15" t="e">
        <f t="shared" si="8"/>
        <v>#VALUE!</v>
      </c>
      <c r="U60" s="17" t="e">
        <f t="shared" si="7"/>
        <v>#VALUE!</v>
      </c>
      <c r="V60" s="10" t="s">
        <v>320</v>
      </c>
      <c r="W60" s="10">
        <v>18</v>
      </c>
      <c r="X60" s="10" t="s">
        <v>35</v>
      </c>
      <c r="Y60" s="10"/>
      <c r="Z60" s="10" t="s">
        <v>321</v>
      </c>
      <c r="AA60" s="10" t="s">
        <v>36</v>
      </c>
      <c r="AB60" s="10" t="s">
        <v>37</v>
      </c>
      <c r="AC60" s="18"/>
    </row>
    <row r="61" spans="1:29" ht="47.25" x14ac:dyDescent="0.25">
      <c r="A61" s="9">
        <f>SUBTOTAL(3,$B$2:B61)</f>
        <v>60</v>
      </c>
      <c r="B61" s="60" t="s">
        <v>322</v>
      </c>
      <c r="C61" s="11">
        <v>40201005813</v>
      </c>
      <c r="D61" s="10"/>
      <c r="E61" s="17">
        <v>0</v>
      </c>
      <c r="F61" s="17"/>
      <c r="G61" s="17">
        <v>0</v>
      </c>
      <c r="H61" s="17">
        <v>0</v>
      </c>
      <c r="I61" s="14">
        <v>36961</v>
      </c>
      <c r="J61" s="15">
        <f t="shared" ca="1" si="0"/>
        <v>25</v>
      </c>
      <c r="K61" s="37" t="s">
        <v>30</v>
      </c>
      <c r="L61" s="37"/>
      <c r="M61" s="10" t="s">
        <v>323</v>
      </c>
      <c r="N61" s="10" t="s">
        <v>63</v>
      </c>
      <c r="O61" s="14">
        <v>46098</v>
      </c>
      <c r="P61" s="14">
        <f t="shared" si="10"/>
        <v>46647</v>
      </c>
      <c r="Q61" s="17"/>
      <c r="R61" s="17">
        <v>9</v>
      </c>
      <c r="S61" s="15" t="s">
        <v>33</v>
      </c>
      <c r="T61" s="15" t="e">
        <f t="shared" si="8"/>
        <v>#VALUE!</v>
      </c>
      <c r="U61" s="17" t="e">
        <f t="shared" si="7"/>
        <v>#VALUE!</v>
      </c>
      <c r="V61" s="10" t="s">
        <v>324</v>
      </c>
      <c r="W61" s="10">
        <v>18</v>
      </c>
      <c r="X61" s="10" t="s">
        <v>35</v>
      </c>
      <c r="Y61" s="10"/>
      <c r="Z61" s="10" t="s">
        <v>325</v>
      </c>
      <c r="AA61" s="10" t="s">
        <v>36</v>
      </c>
      <c r="AB61" s="10" t="s">
        <v>208</v>
      </c>
      <c r="AC61" s="18"/>
    </row>
    <row r="62" spans="1:29" ht="47.25" x14ac:dyDescent="0.25">
      <c r="A62" s="9">
        <f>SUBTOTAL(3,$B$2:B62)</f>
        <v>61</v>
      </c>
      <c r="B62" s="60" t="s">
        <v>326</v>
      </c>
      <c r="C62" s="11">
        <v>40093014571</v>
      </c>
      <c r="D62" s="12"/>
      <c r="E62" s="13" t="s">
        <v>327</v>
      </c>
      <c r="F62" s="13"/>
      <c r="G62" s="17">
        <v>1</v>
      </c>
      <c r="H62" s="17">
        <v>1</v>
      </c>
      <c r="I62" s="14">
        <v>34239</v>
      </c>
      <c r="J62" s="15">
        <f t="shared" ca="1" si="0"/>
        <v>32</v>
      </c>
      <c r="K62" s="10" t="s">
        <v>180</v>
      </c>
      <c r="L62" s="10"/>
      <c r="M62" s="10" t="s">
        <v>328</v>
      </c>
      <c r="N62" s="10" t="s">
        <v>329</v>
      </c>
      <c r="O62" s="14">
        <v>46107</v>
      </c>
      <c r="P62" s="14">
        <f t="shared" si="10"/>
        <v>46717</v>
      </c>
      <c r="Q62" s="17"/>
      <c r="R62" s="17"/>
      <c r="S62" s="15" t="s">
        <v>33</v>
      </c>
      <c r="T62" s="15" t="e">
        <f t="shared" si="8"/>
        <v>#VALUE!</v>
      </c>
      <c r="U62" s="17" t="e">
        <f t="shared" si="7"/>
        <v>#VALUE!</v>
      </c>
      <c r="V62" s="61" t="s">
        <v>330</v>
      </c>
      <c r="W62" s="10">
        <v>20</v>
      </c>
      <c r="X62" s="10" t="s">
        <v>43</v>
      </c>
      <c r="Y62" s="10"/>
      <c r="Z62" s="10" t="s">
        <v>331</v>
      </c>
      <c r="AA62" s="10" t="s">
        <v>36</v>
      </c>
      <c r="AB62" s="10" t="s">
        <v>45</v>
      </c>
      <c r="AC62" s="18"/>
    </row>
    <row r="63" spans="1:29" ht="47.25" x14ac:dyDescent="0.25">
      <c r="A63" s="9">
        <f>SUBTOTAL(3,$B$2:B63)</f>
        <v>62</v>
      </c>
      <c r="B63" s="10" t="s">
        <v>332</v>
      </c>
      <c r="C63" s="11">
        <v>40088008005</v>
      </c>
      <c r="D63" s="14">
        <v>32367</v>
      </c>
      <c r="E63" s="17"/>
      <c r="F63" s="17"/>
      <c r="G63" s="17">
        <v>0</v>
      </c>
      <c r="H63" s="17">
        <v>0</v>
      </c>
      <c r="I63" s="14">
        <v>32367</v>
      </c>
      <c r="J63" s="15">
        <f t="shared" ca="1" si="0"/>
        <v>37</v>
      </c>
      <c r="K63" s="10" t="s">
        <v>333</v>
      </c>
      <c r="L63" s="10"/>
      <c r="M63" s="17" t="s">
        <v>334</v>
      </c>
      <c r="N63" s="17"/>
      <c r="O63" s="14">
        <v>46107</v>
      </c>
      <c r="P63" s="14">
        <f t="shared" si="10"/>
        <v>46291</v>
      </c>
      <c r="Q63" s="17">
        <v>9</v>
      </c>
      <c r="R63" s="17"/>
      <c r="S63" s="15" t="s">
        <v>275</v>
      </c>
      <c r="T63" s="15" t="e">
        <f t="shared" si="8"/>
        <v>#VALUE!</v>
      </c>
      <c r="U63" s="17" t="e">
        <f t="shared" si="7"/>
        <v>#VALUE!</v>
      </c>
      <c r="V63" s="10" t="s">
        <v>335</v>
      </c>
      <c r="W63" s="17">
        <v>6</v>
      </c>
      <c r="X63" s="10"/>
      <c r="Y63" s="10"/>
      <c r="Z63" s="14" t="s">
        <v>336</v>
      </c>
      <c r="AA63" s="10" t="s">
        <v>84</v>
      </c>
      <c r="AB63" s="10"/>
      <c r="AC63" s="18"/>
    </row>
    <row r="64" spans="1:29" ht="47.25" x14ac:dyDescent="0.25">
      <c r="A64" s="9">
        <f>SUBTOTAL(3,$B$2:B64)</f>
        <v>63</v>
      </c>
      <c r="B64" s="60" t="s">
        <v>337</v>
      </c>
      <c r="C64" s="11">
        <v>40092045617</v>
      </c>
      <c r="D64" s="12">
        <v>44287</v>
      </c>
      <c r="E64" s="13" t="s">
        <v>338</v>
      </c>
      <c r="F64" s="13"/>
      <c r="G64" s="17">
        <v>0</v>
      </c>
      <c r="H64" s="17">
        <v>0</v>
      </c>
      <c r="I64" s="14">
        <v>33739</v>
      </c>
      <c r="J64" s="15">
        <f t="shared" ca="1" si="0"/>
        <v>34</v>
      </c>
      <c r="K64" s="10" t="s">
        <v>39</v>
      </c>
      <c r="L64" s="10"/>
      <c r="M64" s="10" t="s">
        <v>339</v>
      </c>
      <c r="N64" s="10" t="s">
        <v>339</v>
      </c>
      <c r="O64" s="12">
        <v>46108</v>
      </c>
      <c r="P64" s="14">
        <f t="shared" si="10"/>
        <v>46534</v>
      </c>
      <c r="Q64" s="17"/>
      <c r="R64" s="17">
        <v>5</v>
      </c>
      <c r="S64" s="15" t="s">
        <v>289</v>
      </c>
      <c r="T64" s="15" t="e">
        <f t="shared" si="8"/>
        <v>#VALUE!</v>
      </c>
      <c r="U64" s="13" t="e">
        <f t="shared" si="7"/>
        <v>#VALUE!</v>
      </c>
      <c r="V64" s="10" t="s">
        <v>340</v>
      </c>
      <c r="W64" s="17">
        <v>14</v>
      </c>
      <c r="X64" s="10" t="s">
        <v>43</v>
      </c>
      <c r="Y64" s="10"/>
      <c r="Z64" s="10" t="s">
        <v>341</v>
      </c>
      <c r="AA64" s="10" t="s">
        <v>84</v>
      </c>
      <c r="AB64" s="10" t="s">
        <v>342</v>
      </c>
      <c r="AC64" s="18"/>
    </row>
    <row r="65" spans="1:29" ht="47.25" x14ac:dyDescent="0.25">
      <c r="A65" s="9">
        <f>SUBTOTAL(3,$B$2:B65)</f>
        <v>64</v>
      </c>
      <c r="B65" s="10" t="s">
        <v>343</v>
      </c>
      <c r="C65" s="11">
        <v>40095021215</v>
      </c>
      <c r="D65" s="12"/>
      <c r="E65" s="13"/>
      <c r="F65" s="13"/>
      <c r="G65" s="17">
        <v>0</v>
      </c>
      <c r="H65" s="17">
        <v>0</v>
      </c>
      <c r="I65" s="14">
        <v>34829</v>
      </c>
      <c r="J65" s="15">
        <f t="shared" ca="1" si="0"/>
        <v>31</v>
      </c>
      <c r="K65" s="10" t="s">
        <v>185</v>
      </c>
      <c r="L65" s="10"/>
      <c r="M65" s="10" t="s">
        <v>186</v>
      </c>
      <c r="N65" s="10" t="s">
        <v>186</v>
      </c>
      <c r="O65" s="12" t="s">
        <v>344</v>
      </c>
      <c r="P65" s="14">
        <v>46440</v>
      </c>
      <c r="Q65" s="17"/>
      <c r="R65" s="17">
        <v>2</v>
      </c>
      <c r="S65" s="15" t="s">
        <v>289</v>
      </c>
      <c r="T65" s="15" t="e">
        <f t="shared" si="8"/>
        <v>#VALUE!</v>
      </c>
      <c r="U65" s="13" t="e">
        <f t="shared" si="7"/>
        <v>#VALUE!</v>
      </c>
      <c r="V65" s="10" t="s">
        <v>345</v>
      </c>
      <c r="W65" s="17">
        <v>18</v>
      </c>
      <c r="X65" s="10" t="s">
        <v>43</v>
      </c>
      <c r="Y65" s="10"/>
      <c r="Z65" s="10" t="s">
        <v>346</v>
      </c>
      <c r="AA65" s="10" t="s">
        <v>36</v>
      </c>
      <c r="AB65" s="10" t="s">
        <v>45</v>
      </c>
      <c r="AC65" s="18"/>
    </row>
    <row r="66" spans="1:29" ht="47.25" x14ac:dyDescent="0.25">
      <c r="A66" s="9">
        <f>SUBTOTAL(3,$B$2:B66)</f>
        <v>65</v>
      </c>
      <c r="B66" s="60" t="s">
        <v>347</v>
      </c>
      <c r="C66" s="11">
        <v>40079027435</v>
      </c>
      <c r="D66" s="12"/>
      <c r="E66" s="13">
        <v>0</v>
      </c>
      <c r="F66" s="13"/>
      <c r="G66" s="17">
        <v>1</v>
      </c>
      <c r="H66" s="17">
        <v>0</v>
      </c>
      <c r="I66" s="14">
        <v>29042</v>
      </c>
      <c r="J66" s="15">
        <f t="shared" ref="J66:J78" ca="1" si="11">INT(YEARFRAC(I66,TODAY()))</f>
        <v>47</v>
      </c>
      <c r="K66" s="10" t="s">
        <v>39</v>
      </c>
      <c r="L66" s="10"/>
      <c r="M66" s="10" t="s">
        <v>348</v>
      </c>
      <c r="N66" s="10" t="s">
        <v>186</v>
      </c>
      <c r="O66" s="14">
        <v>46113</v>
      </c>
      <c r="P66" s="14">
        <f>EDATE(O66,W66)</f>
        <v>46661</v>
      </c>
      <c r="Q66" s="17"/>
      <c r="R66" s="17">
        <v>10</v>
      </c>
      <c r="S66" s="15" t="s">
        <v>33</v>
      </c>
      <c r="T66" s="15" t="e">
        <f t="shared" si="8"/>
        <v>#VALUE!</v>
      </c>
      <c r="U66" s="17" t="e">
        <f t="shared" si="7"/>
        <v>#VALUE!</v>
      </c>
      <c r="V66" s="10" t="s">
        <v>349</v>
      </c>
      <c r="W66" s="17">
        <v>18</v>
      </c>
      <c r="X66" s="10" t="s">
        <v>43</v>
      </c>
      <c r="Y66" s="10" t="s">
        <v>350</v>
      </c>
      <c r="Z66" s="10"/>
      <c r="AA66" s="10" t="s">
        <v>36</v>
      </c>
      <c r="AB66" s="10" t="s">
        <v>279</v>
      </c>
      <c r="AC66" s="18"/>
    </row>
    <row r="67" spans="1:29" ht="47.25" x14ac:dyDescent="0.25">
      <c r="A67" s="9">
        <f>SUBTOTAL(3,$B$2:B67)</f>
        <v>66</v>
      </c>
      <c r="B67" s="60" t="s">
        <v>351</v>
      </c>
      <c r="C67" s="11">
        <v>40083013379</v>
      </c>
      <c r="D67" s="14">
        <v>45056</v>
      </c>
      <c r="E67" s="17">
        <v>0</v>
      </c>
      <c r="F67" s="17"/>
      <c r="G67" s="17">
        <v>0</v>
      </c>
      <c r="H67" s="17">
        <v>0</v>
      </c>
      <c r="I67" s="14">
        <v>30504</v>
      </c>
      <c r="J67" s="15">
        <f t="shared" ca="1" si="11"/>
        <v>43</v>
      </c>
      <c r="K67" s="10" t="s">
        <v>39</v>
      </c>
      <c r="L67" s="10"/>
      <c r="M67" s="10" t="s">
        <v>352</v>
      </c>
      <c r="N67" s="10"/>
      <c r="O67" s="14">
        <v>46114</v>
      </c>
      <c r="P67" s="14"/>
      <c r="Q67" s="17"/>
      <c r="R67" s="17"/>
      <c r="S67" s="15" t="s">
        <v>33</v>
      </c>
      <c r="T67" s="15" t="e">
        <f t="shared" si="8"/>
        <v>#VALUE!</v>
      </c>
      <c r="U67" s="17" t="e">
        <f t="shared" si="7"/>
        <v>#VALUE!</v>
      </c>
      <c r="V67" s="10" t="s">
        <v>353</v>
      </c>
      <c r="W67" s="17">
        <v>14</v>
      </c>
      <c r="X67" s="10" t="s">
        <v>43</v>
      </c>
      <c r="Y67" s="10"/>
      <c r="Z67" s="10"/>
      <c r="AA67" s="10" t="s">
        <v>84</v>
      </c>
      <c r="AB67" s="10" t="s">
        <v>272</v>
      </c>
      <c r="AC67" s="18"/>
    </row>
    <row r="68" spans="1:29" ht="47.25" x14ac:dyDescent="0.25">
      <c r="A68" s="9">
        <f>SUBTOTAL(3,$B$2:B68)</f>
        <v>67</v>
      </c>
      <c r="B68" s="60" t="s">
        <v>354</v>
      </c>
      <c r="C68" s="11">
        <v>42064014624</v>
      </c>
      <c r="D68" s="14">
        <v>44840</v>
      </c>
      <c r="E68" s="17">
        <v>0</v>
      </c>
      <c r="F68" s="17"/>
      <c r="G68" s="17">
        <v>1</v>
      </c>
      <c r="H68" s="17">
        <v>0</v>
      </c>
      <c r="I68" s="14">
        <v>23670</v>
      </c>
      <c r="J68" s="15">
        <f t="shared" ca="1" si="11"/>
        <v>61</v>
      </c>
      <c r="K68" s="10" t="s">
        <v>39</v>
      </c>
      <c r="L68" s="10"/>
      <c r="M68" s="10" t="s">
        <v>355</v>
      </c>
      <c r="N68" s="10"/>
      <c r="O68" s="62">
        <v>46114</v>
      </c>
      <c r="P68" s="14"/>
      <c r="Q68" s="17"/>
      <c r="R68" s="17"/>
      <c r="S68" s="15" t="s">
        <v>33</v>
      </c>
      <c r="T68" s="15" t="e">
        <f t="shared" si="8"/>
        <v>#VALUE!</v>
      </c>
      <c r="U68" s="17" t="e">
        <f t="shared" si="7"/>
        <v>#VALUE!</v>
      </c>
      <c r="V68" s="10" t="s">
        <v>356</v>
      </c>
      <c r="W68" s="63">
        <v>18</v>
      </c>
      <c r="X68" s="10" t="s">
        <v>43</v>
      </c>
      <c r="Y68" s="10"/>
      <c r="Z68" s="10" t="s">
        <v>357</v>
      </c>
      <c r="AA68" s="10" t="s">
        <v>84</v>
      </c>
      <c r="AB68" s="14" t="s">
        <v>111</v>
      </c>
      <c r="AC68" s="18"/>
    </row>
    <row r="69" spans="1:29" ht="47.25" x14ac:dyDescent="0.25">
      <c r="A69" s="9">
        <f>SUBTOTAL(3,$B$2:B69)</f>
        <v>68</v>
      </c>
      <c r="B69" s="10" t="s">
        <v>358</v>
      </c>
      <c r="C69" s="11">
        <v>40204013975</v>
      </c>
      <c r="D69" s="12"/>
      <c r="E69" s="13">
        <v>0</v>
      </c>
      <c r="F69" s="13"/>
      <c r="G69" s="17">
        <v>0</v>
      </c>
      <c r="H69" s="17">
        <v>0</v>
      </c>
      <c r="I69" s="14">
        <v>38075</v>
      </c>
      <c r="J69" s="64">
        <f t="shared" ca="1" si="11"/>
        <v>22</v>
      </c>
      <c r="K69" s="10" t="s">
        <v>180</v>
      </c>
      <c r="L69" s="10"/>
      <c r="M69" s="10" t="s">
        <v>359</v>
      </c>
      <c r="N69" s="10" t="s">
        <v>182</v>
      </c>
      <c r="O69" s="14">
        <v>46119</v>
      </c>
      <c r="P69" s="14">
        <f>EDATE(O69,W69)</f>
        <v>46667</v>
      </c>
      <c r="Q69" s="17"/>
      <c r="R69" s="17"/>
      <c r="S69" s="15" t="s">
        <v>33</v>
      </c>
      <c r="T69" s="15" t="e">
        <f t="shared" si="8"/>
        <v>#VALUE!</v>
      </c>
      <c r="U69" s="17" t="e">
        <f t="shared" si="7"/>
        <v>#VALUE!</v>
      </c>
      <c r="V69" s="61" t="s">
        <v>330</v>
      </c>
      <c r="W69" s="17">
        <v>18</v>
      </c>
      <c r="X69" s="10" t="s">
        <v>43</v>
      </c>
      <c r="Y69" s="10"/>
      <c r="Z69" s="10" t="s">
        <v>360</v>
      </c>
      <c r="AA69" s="10" t="s">
        <v>36</v>
      </c>
      <c r="AB69" s="10" t="s">
        <v>45</v>
      </c>
      <c r="AC69" s="18"/>
    </row>
    <row r="70" spans="1:29" ht="47.25" x14ac:dyDescent="0.25">
      <c r="A70" s="9">
        <f>SUBTOTAL(3,$B$2:B70)</f>
        <v>69</v>
      </c>
      <c r="B70" s="10" t="s">
        <v>361</v>
      </c>
      <c r="C70" s="11">
        <v>4020102278</v>
      </c>
      <c r="D70" s="12"/>
      <c r="E70" s="13">
        <v>0</v>
      </c>
      <c r="F70" s="13"/>
      <c r="G70" s="17">
        <v>0</v>
      </c>
      <c r="H70" s="17">
        <v>0</v>
      </c>
      <c r="I70" s="14">
        <v>36966</v>
      </c>
      <c r="J70" s="64">
        <f t="shared" ca="1" si="11"/>
        <v>25</v>
      </c>
      <c r="K70" s="10" t="s">
        <v>180</v>
      </c>
      <c r="L70" s="10"/>
      <c r="M70" s="10" t="s">
        <v>362</v>
      </c>
      <c r="N70" s="10" t="s">
        <v>363</v>
      </c>
      <c r="O70" s="14">
        <v>46119</v>
      </c>
      <c r="P70" s="14">
        <f>EDATE(O70,W70)</f>
        <v>46728</v>
      </c>
      <c r="Q70" s="17"/>
      <c r="R70" s="17"/>
      <c r="S70" s="15" t="s">
        <v>33</v>
      </c>
      <c r="T70" s="15" t="e">
        <f t="shared" si="8"/>
        <v>#VALUE!</v>
      </c>
      <c r="U70" s="17" t="e">
        <f t="shared" si="7"/>
        <v>#VALUE!</v>
      </c>
      <c r="V70" s="61" t="s">
        <v>364</v>
      </c>
      <c r="W70" s="17">
        <v>20</v>
      </c>
      <c r="X70" s="10" t="s">
        <v>43</v>
      </c>
      <c r="Y70" s="10"/>
      <c r="Z70" s="10" t="s">
        <v>365</v>
      </c>
      <c r="AA70" s="10" t="s">
        <v>36</v>
      </c>
      <c r="AB70" s="10" t="s">
        <v>45</v>
      </c>
      <c r="AC70" s="18"/>
    </row>
    <row r="71" spans="1:29" ht="47.25" x14ac:dyDescent="0.25">
      <c r="A71" s="9">
        <f>SUBTOTAL(3,$B$2:B71)</f>
        <v>70</v>
      </c>
      <c r="B71" s="10" t="s">
        <v>366</v>
      </c>
      <c r="C71" s="11">
        <v>40061002694</v>
      </c>
      <c r="D71" s="12"/>
      <c r="E71" s="13">
        <v>0</v>
      </c>
      <c r="F71" s="13"/>
      <c r="G71" s="17">
        <v>0</v>
      </c>
      <c r="H71" s="17">
        <v>0</v>
      </c>
      <c r="I71" s="14">
        <v>22526</v>
      </c>
      <c r="J71" s="17">
        <f t="shared" ca="1" si="11"/>
        <v>64</v>
      </c>
      <c r="K71" s="10" t="s">
        <v>224</v>
      </c>
      <c r="L71" s="10"/>
      <c r="M71" s="17" t="s">
        <v>233</v>
      </c>
      <c r="N71" s="17" t="s">
        <v>233</v>
      </c>
      <c r="O71" s="14">
        <v>46128</v>
      </c>
      <c r="P71" s="14">
        <f>EDATE(O71,W71)</f>
        <v>46311</v>
      </c>
      <c r="Q71" s="17">
        <v>9</v>
      </c>
      <c r="R71" s="17"/>
      <c r="S71" s="17" t="s">
        <v>275</v>
      </c>
      <c r="T71" s="15" t="e">
        <f t="shared" si="8"/>
        <v>#VALUE!</v>
      </c>
      <c r="U71" s="17" t="e">
        <f t="shared" si="7"/>
        <v>#VALUE!</v>
      </c>
      <c r="V71" s="10" t="s">
        <v>367</v>
      </c>
      <c r="W71" s="17">
        <v>6</v>
      </c>
      <c r="X71" s="10"/>
      <c r="Y71" s="10"/>
      <c r="Z71" s="17" t="s">
        <v>368</v>
      </c>
      <c r="AA71" s="10" t="s">
        <v>369</v>
      </c>
      <c r="AB71" s="10" t="s">
        <v>57</v>
      </c>
      <c r="AC71" s="18"/>
    </row>
    <row r="72" spans="1:29" ht="47.25" x14ac:dyDescent="0.25">
      <c r="A72" s="9">
        <f>SUBTOTAL(3,$B$2:B72)</f>
        <v>71</v>
      </c>
      <c r="B72" s="10" t="s">
        <v>370</v>
      </c>
      <c r="C72" s="11">
        <v>40200010631</v>
      </c>
      <c r="D72" s="12"/>
      <c r="E72" s="13">
        <v>0</v>
      </c>
      <c r="F72" s="13"/>
      <c r="G72" s="17">
        <v>1</v>
      </c>
      <c r="H72" s="17">
        <v>0</v>
      </c>
      <c r="I72" s="14">
        <v>36650</v>
      </c>
      <c r="J72" s="17">
        <f t="shared" ca="1" si="11"/>
        <v>26</v>
      </c>
      <c r="K72" s="10" t="s">
        <v>224</v>
      </c>
      <c r="L72" s="10"/>
      <c r="M72" s="17" t="s">
        <v>237</v>
      </c>
      <c r="N72" s="17" t="s">
        <v>237</v>
      </c>
      <c r="O72" s="12">
        <v>46139</v>
      </c>
      <c r="P72" s="14">
        <f>EDATE(O72,W72)</f>
        <v>46322</v>
      </c>
      <c r="Q72" s="17">
        <v>9</v>
      </c>
      <c r="R72" s="17"/>
      <c r="S72" s="17" t="s">
        <v>275</v>
      </c>
      <c r="T72" s="15" t="e">
        <f t="shared" si="8"/>
        <v>#VALUE!</v>
      </c>
      <c r="U72" s="13" t="e">
        <f t="shared" si="7"/>
        <v>#VALUE!</v>
      </c>
      <c r="V72" s="10" t="s">
        <v>371</v>
      </c>
      <c r="W72" s="17">
        <v>6</v>
      </c>
      <c r="X72" s="10"/>
      <c r="Y72" s="10"/>
      <c r="Z72" s="10" t="s">
        <v>372</v>
      </c>
      <c r="AA72" s="10" t="s">
        <v>36</v>
      </c>
      <c r="AB72" s="10"/>
      <c r="AC72" s="18"/>
    </row>
    <row r="73" spans="1:29" ht="63" x14ac:dyDescent="0.25">
      <c r="A73" s="9">
        <f>SUBTOTAL(3,$B$2:B73)</f>
        <v>72</v>
      </c>
      <c r="B73" s="10" t="s">
        <v>373</v>
      </c>
      <c r="C73" s="65">
        <v>40092003820</v>
      </c>
      <c r="D73" s="66"/>
      <c r="E73" s="67">
        <v>0</v>
      </c>
      <c r="F73" s="67"/>
      <c r="G73" s="68">
        <v>0</v>
      </c>
      <c r="H73" s="68">
        <v>0</v>
      </c>
      <c r="I73" s="69">
        <v>33768</v>
      </c>
      <c r="J73" s="68"/>
      <c r="K73" s="69" t="s">
        <v>79</v>
      </c>
      <c r="L73" s="69"/>
      <c r="M73" s="70" t="s">
        <v>374</v>
      </c>
      <c r="N73" s="70"/>
      <c r="O73" s="71" t="s">
        <v>375</v>
      </c>
      <c r="P73" s="69"/>
      <c r="Q73" s="68"/>
      <c r="R73" s="68"/>
      <c r="S73" s="68" t="s">
        <v>33</v>
      </c>
      <c r="T73" s="15"/>
      <c r="U73" s="67"/>
      <c r="V73" s="45" t="s">
        <v>376</v>
      </c>
      <c r="W73" s="68">
        <v>22</v>
      </c>
      <c r="X73" s="10" t="s">
        <v>75</v>
      </c>
      <c r="Y73" s="70"/>
      <c r="Z73" s="70"/>
      <c r="AA73" s="70"/>
      <c r="AB73" s="70"/>
      <c r="AC73" s="45"/>
    </row>
    <row r="74" spans="1:29" ht="31.5" x14ac:dyDescent="0.25">
      <c r="A74" s="9">
        <f>SUBTOTAL(3,$B$2:B74)</f>
        <v>73</v>
      </c>
      <c r="B74" s="45" t="s">
        <v>377</v>
      </c>
      <c r="C74" s="45">
        <v>40085032098</v>
      </c>
      <c r="D74" s="45">
        <v>0</v>
      </c>
      <c r="E74" s="30">
        <v>0</v>
      </c>
      <c r="F74" s="30"/>
      <c r="G74" s="45">
        <v>0</v>
      </c>
      <c r="H74" s="45">
        <v>0</v>
      </c>
      <c r="I74" s="72">
        <v>31309</v>
      </c>
      <c r="J74" s="15">
        <f t="shared" ca="1" si="11"/>
        <v>40</v>
      </c>
      <c r="K74" s="45" t="s">
        <v>268</v>
      </c>
      <c r="L74" s="45"/>
      <c r="M74" s="45" t="s">
        <v>378</v>
      </c>
      <c r="N74" s="45"/>
      <c r="O74" s="73">
        <v>46163</v>
      </c>
      <c r="P74" s="72"/>
      <c r="Q74" s="45"/>
      <c r="R74" s="45"/>
      <c r="S74" s="45" t="s">
        <v>33</v>
      </c>
      <c r="T74" s="15" t="e">
        <f t="shared" ref="T74:T82" si="12">DATEDIF(O74,$J$1,"m")</f>
        <v>#VALUE!</v>
      </c>
      <c r="U74" s="67" t="e">
        <f t="shared" ref="U74:U82" si="13">DATEDIF(O74,$J$1,"md")</f>
        <v>#VALUE!</v>
      </c>
      <c r="V74" s="45" t="s">
        <v>379</v>
      </c>
      <c r="W74" s="45">
        <v>14</v>
      </c>
      <c r="X74" s="45"/>
      <c r="Y74" s="45"/>
      <c r="Z74" s="45"/>
      <c r="AA74" s="45"/>
      <c r="AB74" s="45"/>
      <c r="AC74" s="45"/>
    </row>
    <row r="75" spans="1:29" ht="47.25" x14ac:dyDescent="0.25">
      <c r="A75" s="9">
        <f>SUBTOTAL(3,$B$2:B75)</f>
        <v>74</v>
      </c>
      <c r="B75" s="45" t="s">
        <v>380</v>
      </c>
      <c r="C75" s="45">
        <v>40086011099</v>
      </c>
      <c r="D75" s="74"/>
      <c r="E75" s="30">
        <v>0</v>
      </c>
      <c r="F75" s="30"/>
      <c r="G75" s="30">
        <v>0</v>
      </c>
      <c r="H75" s="30">
        <v>0</v>
      </c>
      <c r="I75" s="74">
        <v>31613</v>
      </c>
      <c r="J75" s="15">
        <f t="shared" ca="1" si="11"/>
        <v>39</v>
      </c>
      <c r="K75" s="45" t="s">
        <v>268</v>
      </c>
      <c r="L75" s="45"/>
      <c r="M75" s="45" t="s">
        <v>381</v>
      </c>
      <c r="N75" s="45"/>
      <c r="O75" s="75">
        <v>46165</v>
      </c>
      <c r="P75" s="74"/>
      <c r="Q75" s="30"/>
      <c r="R75" s="30"/>
      <c r="S75" s="30" t="s">
        <v>33</v>
      </c>
      <c r="T75" s="15" t="e">
        <f t="shared" si="12"/>
        <v>#VALUE!</v>
      </c>
      <c r="U75" s="67" t="e">
        <f t="shared" si="13"/>
        <v>#VALUE!</v>
      </c>
      <c r="V75" s="45" t="s">
        <v>382</v>
      </c>
      <c r="W75" s="45">
        <v>16</v>
      </c>
      <c r="X75" s="45"/>
      <c r="Y75" s="45"/>
      <c r="Z75" s="45" t="s">
        <v>383</v>
      </c>
      <c r="AA75" s="45" t="s">
        <v>36</v>
      </c>
      <c r="AB75" s="45" t="s">
        <v>45</v>
      </c>
      <c r="AC75" s="45"/>
    </row>
    <row r="76" spans="1:29" ht="47.25" x14ac:dyDescent="0.3">
      <c r="A76" s="9">
        <f>SUBTOTAL(3,$B$2:B76)</f>
        <v>75</v>
      </c>
      <c r="B76" s="45" t="s">
        <v>384</v>
      </c>
      <c r="C76" s="45">
        <v>40092042290</v>
      </c>
      <c r="D76" s="74"/>
      <c r="E76" s="30">
        <v>0</v>
      </c>
      <c r="F76" s="30"/>
      <c r="G76" s="30">
        <v>1</v>
      </c>
      <c r="H76" s="30">
        <v>0</v>
      </c>
      <c r="I76" s="74">
        <v>33878</v>
      </c>
      <c r="J76" s="15">
        <f t="shared" ca="1" si="11"/>
        <v>33</v>
      </c>
      <c r="K76" s="45" t="s">
        <v>30</v>
      </c>
      <c r="L76" s="45"/>
      <c r="M76" s="45" t="s">
        <v>59</v>
      </c>
      <c r="N76" s="45" t="s">
        <v>319</v>
      </c>
      <c r="O76" s="75">
        <v>46165</v>
      </c>
      <c r="P76" s="74"/>
      <c r="Q76" s="30"/>
      <c r="R76" s="30"/>
      <c r="S76" s="45" t="s">
        <v>33</v>
      </c>
      <c r="T76" s="15" t="e">
        <f t="shared" si="12"/>
        <v>#VALUE!</v>
      </c>
      <c r="U76" s="67" t="e">
        <f t="shared" si="13"/>
        <v>#VALUE!</v>
      </c>
      <c r="V76" s="45" t="s">
        <v>385</v>
      </c>
      <c r="W76" s="76">
        <v>24</v>
      </c>
      <c r="X76" s="45" t="s">
        <v>35</v>
      </c>
      <c r="Y76" s="45"/>
      <c r="Z76" s="45" t="s">
        <v>386</v>
      </c>
      <c r="AA76" s="45" t="s">
        <v>36</v>
      </c>
      <c r="AB76" s="45" t="s">
        <v>85</v>
      </c>
      <c r="AC76" s="45"/>
    </row>
    <row r="77" spans="1:29" ht="47.25" x14ac:dyDescent="0.25">
      <c r="A77" s="9">
        <f>SUBTOTAL(3,$B$2:B77)</f>
        <v>76</v>
      </c>
      <c r="B77" s="45" t="s">
        <v>387</v>
      </c>
      <c r="C77" s="45">
        <v>40098020572</v>
      </c>
      <c r="D77" s="74"/>
      <c r="E77" s="30">
        <v>0</v>
      </c>
      <c r="F77" s="30"/>
      <c r="G77" s="30">
        <v>0</v>
      </c>
      <c r="H77" s="30">
        <v>0</v>
      </c>
      <c r="I77" s="74">
        <v>36078</v>
      </c>
      <c r="J77" s="15">
        <f t="shared" ca="1" si="11"/>
        <v>27</v>
      </c>
      <c r="K77" s="45" t="s">
        <v>30</v>
      </c>
      <c r="L77" s="45"/>
      <c r="M77" s="45" t="s">
        <v>59</v>
      </c>
      <c r="N77" s="45" t="s">
        <v>319</v>
      </c>
      <c r="O77" s="75">
        <v>46165</v>
      </c>
      <c r="P77" s="74"/>
      <c r="Q77" s="30"/>
      <c r="R77" s="30"/>
      <c r="S77" s="45" t="s">
        <v>33</v>
      </c>
      <c r="T77" s="15" t="e">
        <f t="shared" si="12"/>
        <v>#VALUE!</v>
      </c>
      <c r="U77" s="67" t="e">
        <f t="shared" si="13"/>
        <v>#VALUE!</v>
      </c>
      <c r="V77" s="45" t="s">
        <v>388</v>
      </c>
      <c r="W77" s="45">
        <v>18</v>
      </c>
      <c r="X77" s="45" t="s">
        <v>35</v>
      </c>
      <c r="Y77" s="45"/>
      <c r="Z77" s="45" t="s">
        <v>389</v>
      </c>
      <c r="AA77" s="45" t="s">
        <v>36</v>
      </c>
      <c r="AB77" s="45" t="s">
        <v>342</v>
      </c>
      <c r="AC77" s="45"/>
    </row>
    <row r="78" spans="1:29" ht="47.25" x14ac:dyDescent="0.25">
      <c r="A78" s="9">
        <f>SUBTOTAL(3,$B$2:B78)</f>
        <v>77</v>
      </c>
      <c r="B78" s="45" t="s">
        <v>390</v>
      </c>
      <c r="C78" s="45">
        <v>40095012182</v>
      </c>
      <c r="D78" s="74"/>
      <c r="E78" s="30">
        <v>0</v>
      </c>
      <c r="F78" s="30"/>
      <c r="G78" s="30">
        <v>0</v>
      </c>
      <c r="H78" s="30">
        <v>0</v>
      </c>
      <c r="I78" s="74">
        <v>34895</v>
      </c>
      <c r="J78" s="15">
        <f t="shared" ca="1" si="11"/>
        <v>30</v>
      </c>
      <c r="K78" s="45" t="s">
        <v>30</v>
      </c>
      <c r="L78" s="45"/>
      <c r="M78" s="45" t="s">
        <v>391</v>
      </c>
      <c r="N78" s="44" t="s">
        <v>392</v>
      </c>
      <c r="O78" s="75">
        <v>46165</v>
      </c>
      <c r="P78" s="74"/>
      <c r="Q78" s="30"/>
      <c r="R78" s="30"/>
      <c r="S78" s="45" t="s">
        <v>33</v>
      </c>
      <c r="T78" s="15" t="e">
        <f t="shared" si="12"/>
        <v>#VALUE!</v>
      </c>
      <c r="U78" s="67" t="e">
        <f t="shared" si="13"/>
        <v>#VALUE!</v>
      </c>
      <c r="V78" s="45" t="s">
        <v>393</v>
      </c>
      <c r="W78" s="45">
        <v>18</v>
      </c>
      <c r="X78" s="45" t="s">
        <v>35</v>
      </c>
      <c r="Y78" s="45"/>
      <c r="Z78" s="45" t="s">
        <v>394</v>
      </c>
      <c r="AA78" s="45" t="s">
        <v>36</v>
      </c>
      <c r="AB78" s="45" t="s">
        <v>45</v>
      </c>
      <c r="AC78" s="45"/>
    </row>
    <row r="79" spans="1:29" ht="47.25" x14ac:dyDescent="0.25">
      <c r="A79" s="9">
        <f>SUBTOTAL(3,$B$2:B79)</f>
        <v>78</v>
      </c>
      <c r="B79" s="45" t="s">
        <v>395</v>
      </c>
      <c r="C79" s="45">
        <v>40099022877</v>
      </c>
      <c r="D79" s="74"/>
      <c r="E79" s="30" t="s">
        <v>396</v>
      </c>
      <c r="F79" s="30"/>
      <c r="G79" s="30">
        <v>1</v>
      </c>
      <c r="H79" s="30">
        <v>0</v>
      </c>
      <c r="I79" s="74">
        <v>36445</v>
      </c>
      <c r="J79" s="15">
        <f ca="1">INT(YEARFRAC(I79,TODAY()))</f>
        <v>26</v>
      </c>
      <c r="K79" s="45" t="s">
        <v>30</v>
      </c>
      <c r="L79" s="45"/>
      <c r="M79" s="45" t="s">
        <v>158</v>
      </c>
      <c r="N79" s="45" t="s">
        <v>158</v>
      </c>
      <c r="O79" s="75">
        <v>46165</v>
      </c>
      <c r="P79" s="74"/>
      <c r="Q79" s="30"/>
      <c r="R79" s="30"/>
      <c r="S79" s="45" t="s">
        <v>33</v>
      </c>
      <c r="T79" s="15" t="e">
        <f t="shared" si="12"/>
        <v>#VALUE!</v>
      </c>
      <c r="U79" s="67" t="e">
        <f t="shared" si="13"/>
        <v>#VALUE!</v>
      </c>
      <c r="V79" s="45" t="s">
        <v>397</v>
      </c>
      <c r="W79" s="45">
        <v>24</v>
      </c>
      <c r="X79" s="45" t="s">
        <v>35</v>
      </c>
      <c r="Y79" s="45"/>
      <c r="Z79" s="45" t="s">
        <v>398</v>
      </c>
      <c r="AA79" s="45" t="s">
        <v>36</v>
      </c>
      <c r="AB79" s="45" t="s">
        <v>272</v>
      </c>
      <c r="AC79" s="45"/>
    </row>
    <row r="80" spans="1:29" ht="47.25" x14ac:dyDescent="0.25">
      <c r="A80" s="9">
        <f>SUBTOTAL(3,$B$2:B80)</f>
        <v>79</v>
      </c>
      <c r="B80" s="45" t="s">
        <v>399</v>
      </c>
      <c r="C80" s="45">
        <v>188315910</v>
      </c>
      <c r="D80" s="74"/>
      <c r="E80" s="30">
        <v>0</v>
      </c>
      <c r="F80" s="30"/>
      <c r="G80" s="30">
        <v>0</v>
      </c>
      <c r="H80" s="30">
        <v>0</v>
      </c>
      <c r="I80" s="74">
        <v>29792</v>
      </c>
      <c r="J80" s="15">
        <f ca="1">INT(YEARFRAC(I80,TODAY()))</f>
        <v>44</v>
      </c>
      <c r="K80" s="45" t="s">
        <v>400</v>
      </c>
      <c r="L80" s="45"/>
      <c r="M80" s="45" t="s">
        <v>401</v>
      </c>
      <c r="N80" s="45"/>
      <c r="O80" s="75">
        <v>46177</v>
      </c>
      <c r="P80" s="74"/>
      <c r="Q80" s="75"/>
      <c r="R80" s="30"/>
      <c r="S80" s="30" t="s">
        <v>234</v>
      </c>
      <c r="T80" s="45" t="e">
        <f t="shared" si="12"/>
        <v>#VALUE!</v>
      </c>
      <c r="U80" s="30" t="e">
        <f t="shared" si="13"/>
        <v>#VALUE!</v>
      </c>
      <c r="V80" s="10" t="s">
        <v>402</v>
      </c>
      <c r="W80" s="45">
        <v>6</v>
      </c>
      <c r="X80" s="45"/>
      <c r="Y80" s="45"/>
      <c r="Z80" s="45"/>
      <c r="AA80" s="45" t="s">
        <v>36</v>
      </c>
      <c r="AB80" s="45" t="s">
        <v>45</v>
      </c>
      <c r="AC80" s="45"/>
    </row>
    <row r="81" spans="1:29" ht="47.25" x14ac:dyDescent="0.25">
      <c r="A81" s="9">
        <f>SUBTOTAL(3,$B$2:B81)</f>
        <v>80</v>
      </c>
      <c r="B81" s="44" t="s">
        <v>403</v>
      </c>
      <c r="C81" s="44">
        <v>40080015641</v>
      </c>
      <c r="D81" s="77"/>
      <c r="E81" s="78">
        <v>0</v>
      </c>
      <c r="F81" s="78"/>
      <c r="G81" s="78">
        <v>0</v>
      </c>
      <c r="H81" s="78">
        <v>0</v>
      </c>
      <c r="I81" s="77">
        <v>29354</v>
      </c>
      <c r="J81" s="78">
        <f ca="1">INT(YEARFRAC(I81,TODAY()))</f>
        <v>46</v>
      </c>
      <c r="K81" s="44" t="s">
        <v>142</v>
      </c>
      <c r="L81" s="44"/>
      <c r="M81" s="44" t="s">
        <v>149</v>
      </c>
      <c r="N81" s="44" t="s">
        <v>149</v>
      </c>
      <c r="O81" s="79">
        <v>46182</v>
      </c>
      <c r="P81" s="77"/>
      <c r="Q81" s="78"/>
      <c r="R81" s="78"/>
      <c r="S81" s="78" t="s">
        <v>33</v>
      </c>
      <c r="T81" s="44" t="e">
        <f t="shared" si="12"/>
        <v>#VALUE!</v>
      </c>
      <c r="U81" s="78" t="e">
        <f t="shared" si="13"/>
        <v>#VALUE!</v>
      </c>
      <c r="V81" s="44" t="s">
        <v>404</v>
      </c>
      <c r="W81" s="44">
        <v>13</v>
      </c>
      <c r="X81" s="44" t="s">
        <v>405</v>
      </c>
      <c r="Y81" s="44"/>
      <c r="Z81" s="44" t="s">
        <v>406</v>
      </c>
      <c r="AA81" s="44" t="s">
        <v>36</v>
      </c>
      <c r="AB81" s="44" t="s">
        <v>279</v>
      </c>
      <c r="AC81" s="44"/>
    </row>
    <row r="82" spans="1:29" ht="31.5" x14ac:dyDescent="0.25">
      <c r="A82" s="9">
        <f>SUBTOTAL(3,$B$2:B82)</f>
        <v>81</v>
      </c>
      <c r="B82" s="44" t="s">
        <v>407</v>
      </c>
      <c r="C82" s="80">
        <v>40097001740</v>
      </c>
      <c r="D82" s="81">
        <v>44297</v>
      </c>
      <c r="E82" s="82">
        <v>0</v>
      </c>
      <c r="F82" s="82"/>
      <c r="G82" s="82">
        <v>0</v>
      </c>
      <c r="H82" s="82">
        <v>0</v>
      </c>
      <c r="I82" s="81">
        <v>35670</v>
      </c>
      <c r="J82" s="78">
        <f ca="1">INT(YEARFRAC(I82,TODAY()))</f>
        <v>28</v>
      </c>
      <c r="K82" s="80" t="s">
        <v>180</v>
      </c>
      <c r="L82" s="80"/>
      <c r="M82" s="80" t="s">
        <v>328</v>
      </c>
      <c r="N82" s="45" t="s">
        <v>155</v>
      </c>
      <c r="O82" s="83">
        <v>46182</v>
      </c>
      <c r="P82" s="81"/>
      <c r="Q82" s="82"/>
      <c r="R82" s="82"/>
      <c r="S82" s="82" t="s">
        <v>408</v>
      </c>
      <c r="T82" s="80" t="e">
        <f t="shared" si="12"/>
        <v>#VALUE!</v>
      </c>
      <c r="U82" s="78" t="e">
        <f t="shared" si="13"/>
        <v>#VALUE!</v>
      </c>
      <c r="V82" s="80"/>
      <c r="W82" s="80"/>
      <c r="X82" s="80"/>
      <c r="Y82" s="80"/>
      <c r="Z82" s="80"/>
      <c r="AA82" s="80" t="s">
        <v>36</v>
      </c>
      <c r="AB82" s="80" t="s">
        <v>45</v>
      </c>
      <c r="AC82" s="80"/>
    </row>
    <row r="83" spans="1:29" ht="47.25" x14ac:dyDescent="0.25">
      <c r="A83" s="9">
        <f>SUBTOTAL(3,$B$2:B83)</f>
        <v>82</v>
      </c>
      <c r="B83" s="45" t="s">
        <v>409</v>
      </c>
      <c r="C83" s="44">
        <v>40204012881</v>
      </c>
      <c r="D83" s="77">
        <v>44706</v>
      </c>
      <c r="E83" s="78">
        <v>0</v>
      </c>
      <c r="F83" s="78"/>
      <c r="G83" s="78">
        <v>0</v>
      </c>
      <c r="H83" s="78">
        <v>0</v>
      </c>
      <c r="I83" s="77">
        <v>38208</v>
      </c>
      <c r="J83" s="78" t="e">
        <f>INT((YEARFRAC(I83,#REF!)))</f>
        <v>#REF!</v>
      </c>
      <c r="K83" s="45" t="s">
        <v>298</v>
      </c>
      <c r="L83" s="45"/>
      <c r="M83" s="45" t="s">
        <v>410</v>
      </c>
      <c r="N83" s="45" t="s">
        <v>155</v>
      </c>
      <c r="O83" s="75">
        <v>46189</v>
      </c>
      <c r="P83" s="77"/>
      <c r="Q83" s="78"/>
      <c r="R83" s="78"/>
      <c r="S83" s="78" t="s">
        <v>234</v>
      </c>
      <c r="T83" s="44"/>
      <c r="U83" s="78"/>
      <c r="V83" s="10" t="s">
        <v>411</v>
      </c>
      <c r="W83" s="44">
        <v>6</v>
      </c>
      <c r="X83" s="44"/>
      <c r="Y83" s="44"/>
      <c r="Z83" s="44" t="s">
        <v>412</v>
      </c>
      <c r="AA83" s="44" t="s">
        <v>36</v>
      </c>
      <c r="AB83" s="44" t="s">
        <v>85</v>
      </c>
      <c r="AC83" s="44"/>
    </row>
    <row r="84" spans="1:29" ht="47.25" x14ac:dyDescent="0.25">
      <c r="A84" s="9">
        <f>SUBTOTAL(3,$B$2:B84)</f>
        <v>83</v>
      </c>
      <c r="B84" s="45" t="s">
        <v>413</v>
      </c>
      <c r="C84" s="45">
        <v>40095027031</v>
      </c>
      <c r="D84" s="74">
        <v>44326</v>
      </c>
      <c r="E84" s="30">
        <v>0</v>
      </c>
      <c r="F84" s="30"/>
      <c r="G84" s="30">
        <v>0</v>
      </c>
      <c r="H84" s="30">
        <v>0</v>
      </c>
      <c r="I84" s="74">
        <v>34948</v>
      </c>
      <c r="J84" s="78" t="e">
        <f>INT((YEARFRAC(I84,$J$1)))</f>
        <v>#VALUE!</v>
      </c>
      <c r="K84" s="45" t="s">
        <v>298</v>
      </c>
      <c r="L84" s="45"/>
      <c r="M84" s="45" t="s">
        <v>410</v>
      </c>
      <c r="N84" s="45" t="s">
        <v>410</v>
      </c>
      <c r="O84" s="75">
        <v>46189</v>
      </c>
      <c r="P84" s="74"/>
      <c r="Q84" s="30"/>
      <c r="R84" s="30"/>
      <c r="S84" s="30" t="s">
        <v>275</v>
      </c>
      <c r="T84" s="45"/>
      <c r="U84" s="30"/>
      <c r="V84" s="10" t="s">
        <v>414</v>
      </c>
      <c r="W84" s="45">
        <v>6</v>
      </c>
      <c r="X84" s="45"/>
      <c r="Y84" s="45"/>
      <c r="Z84" s="45" t="s">
        <v>415</v>
      </c>
      <c r="AA84" s="45" t="s">
        <v>36</v>
      </c>
      <c r="AB84" s="45" t="s">
        <v>85</v>
      </c>
      <c r="AC84" s="45"/>
    </row>
    <row r="85" spans="1:29" ht="31.5" x14ac:dyDescent="0.25">
      <c r="A85" s="9">
        <f>SUBTOTAL(3,$B$2:B85)</f>
        <v>84</v>
      </c>
      <c r="B85" s="45" t="s">
        <v>416</v>
      </c>
      <c r="C85" s="45">
        <v>40064023391</v>
      </c>
      <c r="D85" s="74"/>
      <c r="E85" s="30">
        <v>0</v>
      </c>
      <c r="F85" s="30"/>
      <c r="G85" s="30">
        <v>1</v>
      </c>
      <c r="H85" s="30">
        <v>0</v>
      </c>
      <c r="I85" s="74">
        <v>23663</v>
      </c>
      <c r="J85" s="30"/>
      <c r="K85" s="45" t="s">
        <v>142</v>
      </c>
      <c r="L85" s="45"/>
      <c r="M85" s="45" t="s">
        <v>155</v>
      </c>
      <c r="N85" s="45" t="s">
        <v>155</v>
      </c>
      <c r="O85" s="75">
        <v>46189</v>
      </c>
      <c r="P85" s="74"/>
      <c r="Q85" s="30"/>
      <c r="R85" s="30"/>
      <c r="S85" s="30" t="s">
        <v>408</v>
      </c>
      <c r="T85" s="44" t="e">
        <f t="shared" ref="T85:T96" si="14">DATEDIF(O85,$J$1,"m")</f>
        <v>#VALUE!</v>
      </c>
      <c r="U85" s="78" t="e">
        <f t="shared" ref="U85:U96" si="15">DATEDIF(O85,$J$1,"md")</f>
        <v>#VALUE!</v>
      </c>
      <c r="V85" s="45"/>
      <c r="W85" s="45"/>
      <c r="X85" s="45"/>
      <c r="Y85" s="45"/>
      <c r="Z85" s="45" t="s">
        <v>417</v>
      </c>
      <c r="AA85" s="45" t="s">
        <v>228</v>
      </c>
      <c r="AB85" s="45" t="s">
        <v>279</v>
      </c>
      <c r="AC85" s="45"/>
    </row>
    <row r="86" spans="1:29" ht="31.5" x14ac:dyDescent="0.25">
      <c r="A86" s="9">
        <f>SUBTOTAL(3,$B$2:B86)</f>
        <v>85</v>
      </c>
      <c r="B86" s="45" t="s">
        <v>418</v>
      </c>
      <c r="C86" s="45">
        <v>40079029282</v>
      </c>
      <c r="D86" s="74"/>
      <c r="E86" s="30">
        <v>0</v>
      </c>
      <c r="F86" s="30"/>
      <c r="G86" s="30">
        <v>1</v>
      </c>
      <c r="H86" s="30">
        <v>0</v>
      </c>
      <c r="I86" s="74">
        <v>29208</v>
      </c>
      <c r="J86" s="30"/>
      <c r="K86" s="45" t="s">
        <v>142</v>
      </c>
      <c r="L86" s="45"/>
      <c r="M86" s="45" t="s">
        <v>155</v>
      </c>
      <c r="N86" s="45" t="s">
        <v>155</v>
      </c>
      <c r="O86" s="75">
        <v>46189</v>
      </c>
      <c r="P86" s="74"/>
      <c r="Q86" s="30"/>
      <c r="R86" s="30"/>
      <c r="S86" s="30" t="s">
        <v>408</v>
      </c>
      <c r="T86" s="44" t="e">
        <f t="shared" si="14"/>
        <v>#VALUE!</v>
      </c>
      <c r="U86" s="78" t="e">
        <f t="shared" si="15"/>
        <v>#VALUE!</v>
      </c>
      <c r="V86" s="45"/>
      <c r="W86" s="45"/>
      <c r="X86" s="45"/>
      <c r="Y86" s="45"/>
      <c r="Z86" s="45" t="s">
        <v>419</v>
      </c>
      <c r="AA86" s="45" t="s">
        <v>228</v>
      </c>
      <c r="AB86" s="45" t="s">
        <v>279</v>
      </c>
      <c r="AC86" s="45"/>
    </row>
    <row r="87" spans="1:29" ht="47.25" x14ac:dyDescent="0.25">
      <c r="A87" s="9">
        <f>SUBTOTAL(3,$B$2:B87)</f>
        <v>86</v>
      </c>
      <c r="B87" s="44" t="s">
        <v>420</v>
      </c>
      <c r="C87" s="44">
        <v>40078030049</v>
      </c>
      <c r="D87" s="77">
        <v>44995</v>
      </c>
      <c r="E87" s="78">
        <v>0</v>
      </c>
      <c r="F87" s="78"/>
      <c r="G87" s="78">
        <v>0</v>
      </c>
      <c r="H87" s="78">
        <v>0</v>
      </c>
      <c r="I87" s="77">
        <v>28751</v>
      </c>
      <c r="J87" s="78"/>
      <c r="K87" s="44" t="s">
        <v>231</v>
      </c>
      <c r="L87" s="44"/>
      <c r="M87" s="44" t="s">
        <v>274</v>
      </c>
      <c r="N87" s="44"/>
      <c r="O87" s="79">
        <v>46190</v>
      </c>
      <c r="P87" s="77"/>
      <c r="Q87" s="78"/>
      <c r="R87" s="78"/>
      <c r="S87" s="78" t="s">
        <v>33</v>
      </c>
      <c r="T87" s="44" t="e">
        <f t="shared" si="14"/>
        <v>#VALUE!</v>
      </c>
      <c r="U87" s="78" t="e">
        <f t="shared" si="15"/>
        <v>#VALUE!</v>
      </c>
      <c r="V87" s="44" t="s">
        <v>421</v>
      </c>
      <c r="W87" s="44">
        <v>13</v>
      </c>
      <c r="X87" s="44" t="s">
        <v>75</v>
      </c>
      <c r="Y87" s="44"/>
      <c r="Z87" s="44" t="s">
        <v>422</v>
      </c>
      <c r="AA87" s="44" t="s">
        <v>228</v>
      </c>
      <c r="AB87" s="44" t="s">
        <v>423</v>
      </c>
      <c r="AC87" s="44"/>
    </row>
    <row r="88" spans="1:29" ht="31.5" x14ac:dyDescent="0.25">
      <c r="A88" s="9">
        <f>SUBTOTAL(3,$B$2:B88)</f>
        <v>87</v>
      </c>
      <c r="B88" s="45" t="s">
        <v>424</v>
      </c>
      <c r="C88" s="45">
        <v>40079040167</v>
      </c>
      <c r="D88" s="74">
        <v>45399</v>
      </c>
      <c r="E88" s="30">
        <v>0</v>
      </c>
      <c r="F88" s="30"/>
      <c r="G88" s="30">
        <v>0</v>
      </c>
      <c r="H88" s="30">
        <v>0</v>
      </c>
      <c r="I88" s="74">
        <v>29208</v>
      </c>
      <c r="J88" s="30"/>
      <c r="K88" s="45" t="s">
        <v>107</v>
      </c>
      <c r="L88" s="45"/>
      <c r="M88" s="45" t="s">
        <v>281</v>
      </c>
      <c r="N88" s="10" t="s">
        <v>281</v>
      </c>
      <c r="O88" s="75">
        <v>46192</v>
      </c>
      <c r="P88" s="74"/>
      <c r="Q88" s="30"/>
      <c r="R88" s="30"/>
      <c r="S88" s="30" t="s">
        <v>425</v>
      </c>
      <c r="T88" s="45" t="e">
        <f t="shared" si="14"/>
        <v>#VALUE!</v>
      </c>
      <c r="U88" s="30" t="e">
        <f t="shared" si="15"/>
        <v>#VALUE!</v>
      </c>
      <c r="V88" s="45"/>
      <c r="W88" s="45"/>
      <c r="X88" s="45"/>
      <c r="Y88" s="45"/>
      <c r="Z88" s="45"/>
      <c r="AA88" s="45"/>
      <c r="AB88" s="45"/>
      <c r="AC88" s="45"/>
    </row>
    <row r="89" spans="1:29" ht="31.5" x14ac:dyDescent="0.25">
      <c r="A89" s="9">
        <f>SUBTOTAL(3,$B$2:B89)</f>
        <v>88</v>
      </c>
      <c r="B89" s="45" t="s">
        <v>426</v>
      </c>
      <c r="C89" s="45">
        <v>40086013885</v>
      </c>
      <c r="D89" s="74"/>
      <c r="E89" s="30">
        <v>0</v>
      </c>
      <c r="F89" s="30"/>
      <c r="G89" s="30">
        <v>0</v>
      </c>
      <c r="H89" s="30">
        <v>0</v>
      </c>
      <c r="I89" s="84">
        <v>31629</v>
      </c>
      <c r="J89" s="30"/>
      <c r="K89" s="45" t="s">
        <v>72</v>
      </c>
      <c r="L89" s="45"/>
      <c r="M89" s="45" t="s">
        <v>427</v>
      </c>
      <c r="N89" s="45"/>
      <c r="O89" s="75">
        <v>46192</v>
      </c>
      <c r="P89" s="74"/>
      <c r="Q89" s="30"/>
      <c r="R89" s="30"/>
      <c r="S89" s="30" t="s">
        <v>425</v>
      </c>
      <c r="T89" s="45" t="e">
        <f t="shared" si="14"/>
        <v>#VALUE!</v>
      </c>
      <c r="U89" s="30" t="e">
        <f t="shared" si="15"/>
        <v>#VALUE!</v>
      </c>
      <c r="V89" s="45"/>
      <c r="W89" s="45"/>
      <c r="X89" s="45"/>
      <c r="Y89" s="45"/>
      <c r="Z89" s="45"/>
      <c r="AA89" s="45"/>
      <c r="AB89" s="45"/>
      <c r="AC89" s="45"/>
    </row>
    <row r="90" spans="1:29" ht="31.5" x14ac:dyDescent="0.25">
      <c r="A90" s="9">
        <f>SUBTOTAL(3,$B$2:B90)</f>
        <v>89</v>
      </c>
      <c r="B90" s="45" t="s">
        <v>428</v>
      </c>
      <c r="C90" s="45">
        <v>40096008616</v>
      </c>
      <c r="D90" s="74">
        <v>45572</v>
      </c>
      <c r="E90" s="30">
        <v>0</v>
      </c>
      <c r="F90" s="30"/>
      <c r="G90" s="30">
        <v>0</v>
      </c>
      <c r="H90" s="30">
        <v>0</v>
      </c>
      <c r="I90" s="74">
        <v>35328</v>
      </c>
      <c r="J90" s="30"/>
      <c r="K90" s="45" t="s">
        <v>39</v>
      </c>
      <c r="L90" s="45"/>
      <c r="M90" s="45" t="s">
        <v>303</v>
      </c>
      <c r="N90" s="45" t="s">
        <v>304</v>
      </c>
      <c r="O90" s="75">
        <v>46195</v>
      </c>
      <c r="P90" s="74"/>
      <c r="Q90" s="30"/>
      <c r="R90" s="30"/>
      <c r="S90" s="30" t="s">
        <v>425</v>
      </c>
      <c r="T90" s="45" t="e">
        <f t="shared" si="14"/>
        <v>#VALUE!</v>
      </c>
      <c r="U90" s="30" t="e">
        <f t="shared" si="15"/>
        <v>#VALUE!</v>
      </c>
      <c r="V90" s="45"/>
      <c r="W90" s="45"/>
      <c r="X90" s="45"/>
      <c r="Y90" s="45"/>
      <c r="Z90" s="45"/>
      <c r="AA90" s="45"/>
      <c r="AB90" s="45"/>
      <c r="AC90" s="45"/>
    </row>
    <row r="91" spans="1:29" ht="31.5" x14ac:dyDescent="0.25">
      <c r="A91" s="9">
        <f>SUBTOTAL(3,$B$2:B91)</f>
        <v>90</v>
      </c>
      <c r="B91" s="45" t="s">
        <v>429</v>
      </c>
      <c r="C91" s="45">
        <v>40202012548</v>
      </c>
      <c r="D91" s="74"/>
      <c r="E91" s="30">
        <v>0</v>
      </c>
      <c r="F91" s="30"/>
      <c r="G91" s="30">
        <v>0</v>
      </c>
      <c r="H91" s="30">
        <v>0</v>
      </c>
      <c r="I91" s="74">
        <v>37480</v>
      </c>
      <c r="J91" s="30"/>
      <c r="K91" s="45" t="s">
        <v>30</v>
      </c>
      <c r="L91" s="45"/>
      <c r="M91" s="45" t="s">
        <v>158</v>
      </c>
      <c r="N91" s="45" t="s">
        <v>158</v>
      </c>
      <c r="O91" s="75">
        <v>46195</v>
      </c>
      <c r="P91" s="74"/>
      <c r="Q91" s="30"/>
      <c r="R91" s="30"/>
      <c r="S91" s="30" t="s">
        <v>425</v>
      </c>
      <c r="T91" s="45" t="e">
        <f t="shared" si="14"/>
        <v>#VALUE!</v>
      </c>
      <c r="U91" s="30" t="e">
        <f t="shared" si="15"/>
        <v>#VALUE!</v>
      </c>
      <c r="V91" s="45"/>
      <c r="W91" s="45"/>
      <c r="X91" s="45"/>
      <c r="Y91" s="45"/>
      <c r="Z91" s="45" t="s">
        <v>430</v>
      </c>
      <c r="AA91" s="45" t="s">
        <v>36</v>
      </c>
      <c r="AB91" s="45" t="s">
        <v>57</v>
      </c>
      <c r="AC91" s="45"/>
    </row>
    <row r="92" spans="1:29" ht="31.5" x14ac:dyDescent="0.25">
      <c r="A92" s="9">
        <f>SUBTOTAL(3,$B$2:B92)</f>
        <v>91</v>
      </c>
      <c r="B92" s="45" t="s">
        <v>431</v>
      </c>
      <c r="C92" s="45">
        <v>40201004088</v>
      </c>
      <c r="D92" s="74"/>
      <c r="E92" s="30">
        <v>0</v>
      </c>
      <c r="F92" s="30"/>
      <c r="G92" s="30">
        <v>1</v>
      </c>
      <c r="H92" s="30">
        <v>0</v>
      </c>
      <c r="I92" s="74">
        <v>37196</v>
      </c>
      <c r="J92" s="30"/>
      <c r="K92" s="45" t="s">
        <v>30</v>
      </c>
      <c r="L92" s="45"/>
      <c r="M92" s="45" t="s">
        <v>158</v>
      </c>
      <c r="N92" s="45" t="s">
        <v>158</v>
      </c>
      <c r="O92" s="75">
        <v>46195</v>
      </c>
      <c r="P92" s="74"/>
      <c r="Q92" s="30"/>
      <c r="R92" s="30"/>
      <c r="S92" s="30" t="s">
        <v>425</v>
      </c>
      <c r="T92" s="45" t="e">
        <f t="shared" si="14"/>
        <v>#VALUE!</v>
      </c>
      <c r="U92" s="30" t="e">
        <f t="shared" si="15"/>
        <v>#VALUE!</v>
      </c>
      <c r="V92" s="45"/>
      <c r="W92" s="45"/>
      <c r="X92" s="45"/>
      <c r="Y92" s="45"/>
      <c r="Z92" s="45" t="s">
        <v>432</v>
      </c>
      <c r="AA92" s="45" t="s">
        <v>36</v>
      </c>
      <c r="AB92" s="45" t="s">
        <v>85</v>
      </c>
      <c r="AC92" s="45"/>
    </row>
    <row r="93" spans="1:29" ht="31.5" x14ac:dyDescent="0.25">
      <c r="A93" s="9">
        <f>SUBTOTAL(3,$B$2:B93)</f>
        <v>92</v>
      </c>
      <c r="B93" s="45" t="s">
        <v>433</v>
      </c>
      <c r="C93" s="45">
        <v>40068006113</v>
      </c>
      <c r="D93" s="74">
        <v>44315</v>
      </c>
      <c r="E93" s="30">
        <v>0</v>
      </c>
      <c r="F93" s="30"/>
      <c r="G93" s="30">
        <v>0</v>
      </c>
      <c r="H93" s="30">
        <v>0</v>
      </c>
      <c r="I93" s="74">
        <v>25060</v>
      </c>
      <c r="J93" s="30"/>
      <c r="K93" s="45" t="s">
        <v>224</v>
      </c>
      <c r="L93" s="45"/>
      <c r="M93" s="45" t="s">
        <v>241</v>
      </c>
      <c r="N93" s="45" t="s">
        <v>241</v>
      </c>
      <c r="O93" s="75">
        <v>46196</v>
      </c>
      <c r="P93" s="74"/>
      <c r="Q93" s="30"/>
      <c r="R93" s="30"/>
      <c r="S93" s="30" t="s">
        <v>425</v>
      </c>
      <c r="T93" s="45" t="e">
        <f t="shared" si="14"/>
        <v>#VALUE!</v>
      </c>
      <c r="U93" s="30" t="e">
        <f t="shared" si="15"/>
        <v>#VALUE!</v>
      </c>
      <c r="V93" s="45"/>
      <c r="W93" s="45"/>
      <c r="X93" s="45"/>
      <c r="Y93" s="45"/>
      <c r="Z93" s="45" t="s">
        <v>434</v>
      </c>
      <c r="AA93" s="45" t="s">
        <v>36</v>
      </c>
      <c r="AB93" s="85" t="s">
        <v>435</v>
      </c>
      <c r="AC93" s="45"/>
    </row>
    <row r="94" spans="1:29" ht="47.25" x14ac:dyDescent="0.25">
      <c r="A94" s="9">
        <f>SUBTOTAL(3,$B$2:B94)</f>
        <v>93</v>
      </c>
      <c r="B94" s="44" t="s">
        <v>436</v>
      </c>
      <c r="C94" s="44">
        <v>40207016390</v>
      </c>
      <c r="D94" s="77">
        <v>45939</v>
      </c>
      <c r="E94" s="78">
        <v>0</v>
      </c>
      <c r="F94" s="78"/>
      <c r="G94" s="78">
        <v>0</v>
      </c>
      <c r="H94" s="78">
        <v>0</v>
      </c>
      <c r="I94" s="77">
        <v>39129</v>
      </c>
      <c r="J94" s="78" t="e">
        <f>INT((YEARFRAC(I94,#REF!)))</f>
        <v>#REF!</v>
      </c>
      <c r="K94" s="44" t="s">
        <v>72</v>
      </c>
      <c r="L94" s="44"/>
      <c r="M94" s="44" t="s">
        <v>437</v>
      </c>
      <c r="N94" s="44"/>
      <c r="O94" s="79">
        <v>46197</v>
      </c>
      <c r="P94" s="77"/>
      <c r="Q94" s="78"/>
      <c r="R94" s="78"/>
      <c r="S94" s="78" t="s">
        <v>234</v>
      </c>
      <c r="T94" s="44" t="e">
        <f t="shared" si="14"/>
        <v>#VALUE!</v>
      </c>
      <c r="U94" s="78" t="e">
        <f t="shared" si="15"/>
        <v>#VALUE!</v>
      </c>
      <c r="V94" s="10" t="s">
        <v>438</v>
      </c>
      <c r="W94" s="44">
        <v>12</v>
      </c>
      <c r="X94" s="44"/>
      <c r="Y94" s="44"/>
      <c r="Z94" s="44" t="s">
        <v>439</v>
      </c>
      <c r="AA94" s="44" t="s">
        <v>36</v>
      </c>
      <c r="AB94" s="44"/>
      <c r="AC94" s="44"/>
    </row>
    <row r="95" spans="1:29" ht="47.25" x14ac:dyDescent="0.25">
      <c r="A95" s="9">
        <f>SUBTOTAL(3,$B$2:B95)</f>
        <v>94</v>
      </c>
      <c r="B95" s="45" t="s">
        <v>440</v>
      </c>
      <c r="C95" s="45">
        <v>40207007524</v>
      </c>
      <c r="D95" s="74">
        <v>45979</v>
      </c>
      <c r="E95" s="30">
        <v>0</v>
      </c>
      <c r="F95" s="30"/>
      <c r="G95" s="30">
        <v>0</v>
      </c>
      <c r="H95" s="30">
        <v>0</v>
      </c>
      <c r="I95" s="74">
        <v>39417</v>
      </c>
      <c r="J95" s="78" t="e">
        <f>INT((YEARFRAC(I95,#REF!)))</f>
        <v>#REF!</v>
      </c>
      <c r="K95" s="45" t="s">
        <v>441</v>
      </c>
      <c r="L95" s="45"/>
      <c r="M95" s="45" t="s">
        <v>442</v>
      </c>
      <c r="N95" s="45" t="s">
        <v>443</v>
      </c>
      <c r="O95" s="75">
        <v>46200</v>
      </c>
      <c r="P95" s="74"/>
      <c r="Q95" s="30"/>
      <c r="R95" s="30">
        <v>6</v>
      </c>
      <c r="S95" s="78" t="s">
        <v>234</v>
      </c>
      <c r="T95" s="45" t="e">
        <f t="shared" si="14"/>
        <v>#VALUE!</v>
      </c>
      <c r="U95" s="30" t="e">
        <f t="shared" si="15"/>
        <v>#VALUE!</v>
      </c>
      <c r="V95" s="10" t="s">
        <v>444</v>
      </c>
      <c r="W95" s="45">
        <v>12</v>
      </c>
      <c r="X95" s="45"/>
      <c r="Y95" s="45"/>
      <c r="Z95" s="45"/>
      <c r="AA95" s="45" t="s">
        <v>84</v>
      </c>
      <c r="AB95" s="45" t="s">
        <v>177</v>
      </c>
      <c r="AC95" s="45"/>
    </row>
    <row r="96" spans="1:29" ht="31.5" x14ac:dyDescent="0.25">
      <c r="A96" s="9">
        <f>SUBTOTAL(3,$B$2:B96)</f>
        <v>95</v>
      </c>
      <c r="B96" s="45" t="s">
        <v>445</v>
      </c>
      <c r="C96" s="45">
        <v>40099014365</v>
      </c>
      <c r="D96" s="74">
        <v>44422</v>
      </c>
      <c r="E96" s="30"/>
      <c r="F96" s="30"/>
      <c r="G96" s="30"/>
      <c r="H96" s="30"/>
      <c r="I96" s="74">
        <v>36473</v>
      </c>
      <c r="J96" s="30"/>
      <c r="K96" s="45" t="s">
        <v>231</v>
      </c>
      <c r="L96" s="45"/>
      <c r="M96" s="45" t="s">
        <v>446</v>
      </c>
      <c r="N96" s="45"/>
      <c r="O96" s="75">
        <v>46207</v>
      </c>
      <c r="P96" s="74"/>
      <c r="Q96" s="30"/>
      <c r="R96" s="30"/>
      <c r="S96" s="30" t="s">
        <v>408</v>
      </c>
      <c r="T96" s="45" t="e">
        <f t="shared" si="14"/>
        <v>#VALUE!</v>
      </c>
      <c r="U96" s="30" t="e">
        <f t="shared" si="15"/>
        <v>#VALUE!</v>
      </c>
      <c r="V96" s="45"/>
      <c r="W96" s="45"/>
      <c r="X96" s="45"/>
      <c r="Y96" s="45"/>
      <c r="Z96" s="45"/>
      <c r="AA96" s="45"/>
      <c r="AB96" s="45"/>
      <c r="AC96" s="45"/>
    </row>
    <row r="97" spans="1:29" ht="78.75" x14ac:dyDescent="0.25">
      <c r="A97" s="9">
        <f>SUBTOTAL(3,$B$2:B97)</f>
        <v>96</v>
      </c>
      <c r="B97" s="45" t="s">
        <v>447</v>
      </c>
      <c r="C97" s="45"/>
      <c r="D97" s="74"/>
      <c r="E97" s="30"/>
      <c r="F97" s="30"/>
      <c r="G97" s="30"/>
      <c r="H97" s="30"/>
      <c r="I97" s="74">
        <v>31568</v>
      </c>
      <c r="J97" s="30"/>
      <c r="K97" s="45" t="s">
        <v>244</v>
      </c>
      <c r="L97" s="45"/>
      <c r="M97" s="45" t="s">
        <v>448</v>
      </c>
      <c r="N97" s="45" t="s">
        <v>449</v>
      </c>
      <c r="O97" s="86" t="s">
        <v>450</v>
      </c>
      <c r="P97" s="74">
        <v>46700</v>
      </c>
      <c r="Q97" s="30"/>
      <c r="R97" s="30">
        <v>11</v>
      </c>
      <c r="S97" s="30" t="s">
        <v>289</v>
      </c>
      <c r="T97" s="45"/>
      <c r="U97" s="30"/>
      <c r="V97" s="45"/>
      <c r="W97" s="45">
        <v>18</v>
      </c>
      <c r="X97" s="45"/>
      <c r="Y97" s="45"/>
      <c r="Z97" s="45" t="s">
        <v>451</v>
      </c>
      <c r="AA97" s="45" t="s">
        <v>36</v>
      </c>
      <c r="AB97" s="45" t="s">
        <v>111</v>
      </c>
      <c r="AC97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NHAN</dc:creator>
  <cp:lastModifiedBy>TRANG NHAN</cp:lastModifiedBy>
  <dcterms:created xsi:type="dcterms:W3CDTF">2026-07-10T12:47:57Z</dcterms:created>
  <dcterms:modified xsi:type="dcterms:W3CDTF">2026-07-10T12:49:46Z</dcterms:modified>
</cp:coreProperties>
</file>